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uentes" sheetId="1" state="visible" r:id="rId3"/>
    <sheet name="Via A" sheetId="2" state="visible" r:id="rId4"/>
    <sheet name="Via B" sheetId="3" state="visible" r:id="rId5"/>
    <sheet name="Resumen" sheetId="4" state="visible" r:id="rId6"/>
    <sheet name="Sensibilidad" sheetId="5" state="visible" r:id="rId7"/>
    <sheet name="Valoracion" sheetId="6" state="visible" r:id="rId8"/>
    <sheet name="Escala30M"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<sst xmlns="http://schemas.openxmlformats.org/spreadsheetml/2006/main" count="212" uniqueCount="151">
  <si>
    <t xml:space="preserve">Fuentes y supuestos — modelo de mercado de PYMEs en México</t>
  </si>
  <si>
    <t xml:space="preserve">Cambia cualquier celda de la columna Valor marcada como SUPUESTO — todo el modelo se recalcula solo.</t>
  </si>
  <si>
    <t xml:space="preserve">Variable</t>
  </si>
  <si>
    <t xml:space="preserve">Valor</t>
  </si>
  <si>
    <t xml:space="preserve">Tipo</t>
  </si>
  <si>
    <t xml:space="preserve">Fuente</t>
  </si>
  <si>
    <t xml:space="preserve">Universo total de unidades económicas privadas y paraestatales en México</t>
  </si>
  <si>
    <t xml:space="preserve">DATO</t>
  </si>
  <si>
    <t xml:space="preserve">INEGI, Censos Económicos 2024 (resultados definitivos)</t>
  </si>
  <si>
    <t xml:space="preserve">% Microempresas (0–10 empleados)</t>
  </si>
  <si>
    <t xml:space="preserve">INEGI, Censos Económicos 2024</t>
  </si>
  <si>
    <t xml:space="preserve">% Pequeña empresa</t>
  </si>
  <si>
    <t xml:space="preserve">% Mediana empresa</t>
  </si>
  <si>
    <t xml:space="preserve">% Grande empresa</t>
  </si>
  <si>
    <t xml:space="preserve">% unidades económicas en Comercio</t>
  </si>
  <si>
    <t xml:space="preserve">INEGI, Censos Económicos 2019 (desglose sectorial público más reciente localizado)</t>
  </si>
  <si>
    <t xml:space="preserve">% unidades económicas en Servicios</t>
  </si>
  <si>
    <t xml:space="preserve">INEGI, Censos Económicos 2019</t>
  </si>
  <si>
    <t xml:space="preserve">% unidades económicas en Manufactura</t>
  </si>
  <si>
    <t xml:space="preserve">% Resto de actividades</t>
  </si>
  <si>
    <t xml:space="preserve">Restaurantes en México (unidades económicas)</t>
  </si>
  <si>
    <t xml:space="preserve">INEGI–CANIRAC, "Conociendo la Industria Restaurantera"</t>
  </si>
  <si>
    <t xml:space="preserve">% de restaurantes que son microempresas</t>
  </si>
  <si>
    <t xml:space="preserve">INEGI–CANIRAC</t>
  </si>
  <si>
    <t xml:space="preserve">% de restaurantes pequeña/mediana (derivado)</t>
  </si>
  <si>
    <t xml:space="preserve">DATO (derivado)</t>
  </si>
  <si>
    <t xml:space="preserve">Calculado como 1 − % microempresas (fila anterior)</t>
  </si>
  <si>
    <t xml:space="preserve">Servicios profesionales, científicos y técnicos — SCIAN 54, todas las ramas (unidades económicas)</t>
  </si>
  <si>
    <t xml:space="preserve">DENUE 2025</t>
  </si>
  <si>
    <t xml:space="preserve">Unidades SCIAN 54 en Estado de México</t>
  </si>
  <si>
    <t xml:space="preserve">Unidades SCIAN 54 en Ciudad de México</t>
  </si>
  <si>
    <t xml:space="preserve">Universo encuestado ENAPROCE 2018 (empresas)</t>
  </si>
  <si>
    <t xml:space="preserve">INEGI / Secretaría de Economía, ENAPROCE 2018</t>
  </si>
  <si>
    <t xml:space="preserve">% que usa contador o paquetería contable</t>
  </si>
  <si>
    <t xml:space="preserve">ENAPROCE 2018</t>
  </si>
  <si>
    <t xml:space="preserve">% que no lleva ninguna contabilidad</t>
  </si>
  <si>
    <t xml:space="preserve">% de PyMEs en México que usan tecnologías de la información</t>
  </si>
  <si>
    <t xml:space="preserve">El Financiero, citando estudio de adopción tecnológica en PyMEs</t>
  </si>
  <si>
    <t xml:space="preserve">% de mipymes con herramientas digitales que usan algún ERP</t>
  </si>
  <si>
    <t xml:space="preserve">Radiografía del Emprendimiento en México 2021</t>
  </si>
  <si>
    <t xml:space="preserve">SUPUESTOS EDITABLES — cambia estos valores para recalcular todo el modelo</t>
  </si>
  <si>
    <t xml:space="preserve">% del sector de servicios profesionales que califica por tamaño/facturación suficiente (Vía A)</t>
  </si>
  <si>
    <t xml:space="preserve">SUPUESTO</t>
  </si>
  <si>
    <t xml:space="preserve">Estimación editable — la estratificación censal por número de empleados subestima despachos boutique con pocos empleados pero facturación de pequeña empresa</t>
  </si>
  <si>
    <t xml:space="preserve">% que hoy opera de forma artesanal / sin sistema real (Vía A y Vía B)</t>
  </si>
  <si>
    <t xml:space="preserve">Estimación editable, informada por la baja adopción de TI/ERP citada arriba (filas 23–24) — no es un dato censal directo</t>
  </si>
  <si>
    <t xml:space="preserve">% direccionable en el corto plazo (Vía A y Vía B)</t>
  </si>
  <si>
    <t xml:space="preserve">Estimación editable — presencia digital mínima, zona geográfica prospectable, disposición a invertir en consultoría</t>
  </si>
  <si>
    <t xml:space="preserve">Leyenda: texto azul = dato/insumo fijo tomado de la fuente citada. Relleno amarillo + texto azul = SUPUESTO editable (cámbialo aquí; el resto del modelo usa esta misma celda). Texto negro = resultado calculado con fórmula.</t>
  </si>
  <si>
    <t xml:space="preserve">Datos adicionales — banda legal de ingresos anuales por tamaño de empresa</t>
  </si>
  <si>
    <t xml:space="preserve">Piso de ingresos anuales — Pequeña empresa (millones de pesos)</t>
  </si>
  <si>
    <t xml:space="preserve">Estratificación oficial MIPYME (Ley para el Desarrollo de la Competitividad de la MIPYME / Acuerdo DOF)</t>
  </si>
  <si>
    <t xml:space="preserve">Techo de Pequeña empresa / piso de Mediana empresa (millones de pesos)</t>
  </si>
  <si>
    <t xml:space="preserve">Techo de Mediana empresa (millones de pesos)</t>
  </si>
  <si>
    <t xml:space="preserve">Vía A — Servicios que cotizan proyecto por proyecto (diseño, consultoría, arquitectura, construcción)</t>
  </si>
  <si>
    <t xml:space="preserve">Todas las celdas de esta hoja son fórmulas que jalan de 'Fuentes' — para cambiar un supuesto, edítalo allá.</t>
  </si>
  <si>
    <t xml:space="preserve">Paso</t>
  </si>
  <si>
    <t xml:space="preserve">Descripción</t>
  </si>
  <si>
    <t xml:space="preserve">Notas</t>
  </si>
  <si>
    <t xml:space="preserve">Unidades económicas en SCIAN 54 (servicios profesionales, científicos y técnicos: legal, contable, arquitectura, ingeniería, diseño especializado, TI, consultoría, publicidad, etc.)</t>
  </si>
  <si>
    <t xml:space="preserve">Enlace a 'Fuentes' (dato oficial)</t>
  </si>
  <si>
    <t xml:space="preserve">% que tiene tamaño/facturación suficiente para justificar el servicio (no es una sola persona de subsistencia)</t>
  </si>
  <si>
    <t xml:space="preserve">Enlace a 'Fuentes'</t>
  </si>
  <si>
    <t xml:space="preserve">Subtotal tras filtro de tamaño/facturación</t>
  </si>
  <si>
    <t xml:space="preserve">% que hoy opera de forma artesanal / sin sistema real</t>
  </si>
  <si>
    <t xml:space="preserve">Enlace a 'Fuentes' (supuesto compartido con la otra vía)</t>
  </si>
  <si>
    <t xml:space="preserve">Subtotal tras filtro de necesidad (sin sistema real)</t>
  </si>
  <si>
    <t xml:space="preserve">% direccionable en el corto plazo</t>
  </si>
  <si>
    <t xml:space="preserve">MERCADO OBTENIBLE SERVIBLE (SOM) — VÍA A</t>
  </si>
  <si>
    <t xml:space="preserve">Vía B — Operación diaria multicanal (restaurantes como ancla del segmento; extensible a retail)</t>
  </si>
  <si>
    <t xml:space="preserve">% pequeña/mediana (excluye el 96% que son microempresas de subsistencia)</t>
  </si>
  <si>
    <t xml:space="preserve">MERCADO OBTENIBLE SERVIBLE (SOM) — VÍA B</t>
  </si>
  <si>
    <t xml:space="preserve">Resumen — mercado obtenible y capacidad real de atención</t>
  </si>
  <si>
    <t xml:space="preserve">Suma las dos vías y traduce el mercado obtenible en una meta operativa realista para un consultor independiente.</t>
  </si>
  <si>
    <t xml:space="preserve">Mercado obtenible servible (SOM) por vía</t>
  </si>
  <si>
    <t xml:space="preserve">SOM Vía A — servicios de proyecto</t>
  </si>
  <si>
    <t xml:space="preserve">SOM Vía B — operación diaria multicanal</t>
  </si>
  <si>
    <t xml:space="preserve">MERCADO OBTENIBLE SERVIBLE (SOM) TOTAL</t>
  </si>
  <si>
    <t xml:space="preserve">¿Qué fracción del mercado necesitas capturar?</t>
  </si>
  <si>
    <t xml:space="preserve">Clientes objetivo</t>
  </si>
  <si>
    <t xml:space="preserve">% del SOM total</t>
  </si>
  <si>
    <t xml:space="preserve">Capacidad real como consultor independiente</t>
  </si>
  <si>
    <t xml:space="preserve">Clientes nuevos instalados por trimestre (supuesto)</t>
  </si>
  <si>
    <t xml:space="preserve">Tasa de cancelación anual de cartera en monitoreo (supuesto)</t>
  </si>
  <si>
    <t xml:space="preserve">Techo de cartera en monitoreo simultáneo antes de necesitar contratar (supuesto)</t>
  </si>
  <si>
    <t xml:space="preserve">Año</t>
  </si>
  <si>
    <t xml:space="preserve">Nuevos clientes instalados</t>
  </si>
  <si>
    <t xml:space="preserve">Cartera al inicio del año</t>
  </si>
  <si>
    <t xml:space="preserve">Cartera en monitoreo al cierre</t>
  </si>
  <si>
    <t xml:space="preserve">Año 1</t>
  </si>
  <si>
    <t xml:space="preserve">Año 2</t>
  </si>
  <si>
    <t xml:space="preserve">Año 3</t>
  </si>
  <si>
    <t xml:space="preserve">Foco geográfico sugerido</t>
  </si>
  <si>
    <t xml:space="preserve">% de SCIAN 54 nacional concentrado en CDMX + Estado de México</t>
  </si>
  <si>
    <t xml:space="preserve">Prospectar primero en Ciudad de México y Estado de México reduce fricción logística: concentran cerca de una quinta parte de los servicios profesionales del país. No hay un dato equivalente citado aquí para la concentración geográfica de restaurantes (Vía B).</t>
  </si>
  <si>
    <t xml:space="preserve">¿Cuántos pueden pagar el ticket propuesto ($100,000 setup + $30,000/mes)?</t>
  </si>
  <si>
    <t xml:space="preserve">Setup propuesto (MXN)</t>
  </si>
  <si>
    <t xml:space="preserve">Mensualidad propuesta (MXN)</t>
  </si>
  <si>
    <t xml:space="preserve">Costo total año 1 (setup + 12 meses de mensualidad)</t>
  </si>
  <si>
    <t xml:space="preserve">Costo anual recurrente (año 2 en adelante)</t>
  </si>
  <si>
    <t xml:space="preserve">% de ingresos anuales que representa un gasto "cómodo" — no una carga desproporcionada (umbral, supuesto)</t>
  </si>
  <si>
    <t xml:space="preserve">Ingreso anual mínimo para que el costo del año 1 sea ≤ umbral</t>
  </si>
  <si>
    <t xml:space="preserve">Ingreso anual mínimo para sostener el costo recurrente ≤ umbral</t>
  </si>
  <si>
    <t xml:space="preserve">Referencia — banda legal de ingresos anuales: Pequeña empresa $4.01–100 millones de pesos/año; Mediana empresa $100.01–250 millones de pesos/año (ver hoja 'Fuentes'). El ingreso mínimo recurrente calculado arriba cae dentro del tramo bajo de 'Pequeña' — es decir, una parte real pero no total de las empresas ya filtradas como Pequeña/Mediana puede sostenerlo sin que sea una carga desproporcionada.</t>
  </si>
  <si>
    <t xml:space="preserve">% del mercado obtenible (SOM) que se estima tiene ingresos suficientes para pagar este ticket cómodamente (supuesto)</t>
  </si>
  <si>
    <t xml:space="preserve">MERCADO QUE PUEDE PAGAR EL TICKET PROPUESTO</t>
  </si>
  <si>
    <t xml:space="preserve">Nota: el 35% es la cifra menos sólida de todo el modelo — no encontré una distribución pública de ingresos DENTRO de la banda Pequeña/Mediana en México (esa banda va de $4M a $250M/año, un rango enorme). Es una estimación de sentido común, no un dato censal. El punto de referencia más confiable que existe es tu cliente actual: compara qué % de sus ingresos representa lo que le cobras hoy, y ajusta esta celda con ese punto de anclaje real.</t>
  </si>
  <si>
    <t xml:space="preserve">Sensibilidad — 3 escenarios</t>
  </si>
  <si>
    <t xml:space="preserve">La columna Base jala en vivo de 'Fuentes'; Conservador y Optimista son palancas de escenario independientes (edítalas aquí).</t>
  </si>
  <si>
    <t xml:space="preserve">Conservador</t>
  </si>
  <si>
    <t xml:space="preserve">Base</t>
  </si>
  <si>
    <t xml:space="preserve">Optimista</t>
  </si>
  <si>
    <t xml:space="preserve">% califica por tamaño/facturación (Vía A)</t>
  </si>
  <si>
    <t xml:space="preserve">% que opera de forma artesanal / sin sistema real</t>
  </si>
  <si>
    <t xml:space="preserve">SOM Vía A resultante</t>
  </si>
  <si>
    <t xml:space="preserve">SOM Vía B resultante</t>
  </si>
  <si>
    <t xml:space="preserve">SOM TOTAL</t>
  </si>
  <si>
    <t xml:space="preserve">Valoración — proyección de ingresos y rango de valor del negocio</t>
  </si>
  <si>
    <t xml:space="preserve">Ilustrativo, NO es una valoración formal: no incorpora margen real, estructura de costos ni contratos. Útil para ver el orden de magnitud, no para negociar una venta. El techo aquí es tu capacidad operativa (hoja 'Resumen'), no el tamaño de mercado — el mercado ya es muchas veces mayor que lo que puedes atender solo.</t>
  </si>
  <si>
    <t xml:space="preserve">Proyección de ingresos (usa la capacidad operativa ya modelada en 'Resumen')</t>
  </si>
  <si>
    <t xml:space="preserve">Nuevos clientes
instalados</t>
  </si>
  <si>
    <t xml:space="preserve">Cartera al
inicio del año</t>
  </si>
  <si>
    <t xml:space="preserve">Cartera al
cierre del año</t>
  </si>
  <si>
    <t xml:space="preserve">Ingreso por
setup (MXN)</t>
  </si>
  <si>
    <t xml:space="preserve">Ingreso recurrente
promedio del año (MXN)</t>
  </si>
  <si>
    <t xml:space="preserve">Ingreso total
del año (MXN)</t>
  </si>
  <si>
    <t xml:space="preserve">Ingreso recurrente anualizado de salida (ARR) al cierre del Año 3</t>
  </si>
  <si>
    <t xml:space="preserve">Múltiplos de valoración (supuestos)</t>
  </si>
  <si>
    <t xml:space="preserve">Negocio de servicios boutique, un solo operador, alto riesgo de dependencia de una persona clave (si tú no estás, ¿el negocio sigue?). No es una empresa de software (TINO no es tuyo, la automatización es a la medida) — no apliques múltiplos de SaaS (5–10x ARR). Rangos típicos para consultoría boutique de una persona: 0.5x–1.5x del ingreso recurrente anualizado.</t>
  </si>
  <si>
    <t xml:space="preserve">Escenario</t>
  </si>
  <si>
    <t xml:space="preserve">Múltiplo sobre ARR</t>
  </si>
  <si>
    <t xml:space="preserve">Valor estimado (MXN)</t>
  </si>
  <si>
    <t xml:space="preserve">Nota: hoy tienes un cliente real operando — no una cartera de varios clientes con historial. Este rango es hacia dónde apunta el negocio si la proyección de capacidad se cumple, no lo que vale hoy. Lo que más sube el múltiplo real, si algún día quieres vender o atraer socios: que el sistema funcione sin que tú estés en cada cuenta (documentación, un segundo operador, procesos repetibles), y contratos de monitoreo firmados a 12+ meses en vez de mes a mes.</t>
  </si>
  <si>
    <t xml:space="preserve">¿Es factible escalar a $30M MXN/año?</t>
  </si>
  <si>
    <t xml:space="preserve">Este modelo sólo proyecta ingreso, no utilidad: no incluye sueldos de los operadores nuevos, costo de adquisición de clientes, ni gastos de operación. Responde '¿el ingreso es alcanzable?', no '¿es un buen negocio a esa escala?'.</t>
  </si>
  <si>
    <t xml:space="preserve">Objetivo de ingreso anual (MXN)</t>
  </si>
  <si>
    <t xml:space="preserve">Cartera en monitoreo necesaria (asumiendo que el ingreso viene sobre todo de mensualidades)</t>
  </si>
  <si>
    <t xml:space="preserve">Operadores equivalentes necesarios (usando tu propio techo por operador de 'Resumen')</t>
  </si>
  <si>
    <t xml:space="preserve">Clientes nuevos por año que hacen falta sólo para reponer bajas en estado estable (cartera × tasa de cancelación)</t>
  </si>
  <si>
    <t xml:space="preserve">Trayectoria — ¿cuánto tarda en llegar, contratando ~1 operador nuevo por año?</t>
  </si>
  <si>
    <t xml:space="preserve">'Operadores activos' es un supuesto editable por año (empieza en ti solo). Cada operador aporta la misma capacidad que la tuya en 'Resumen': 1.5 clientes nuevos instalados por trimestre, techo de 18 en cartera. Es una simplificación — en la práctica un operador nuevo tarda en llegar a ese ritmo.</t>
  </si>
  <si>
    <t xml:space="preserve">Operadores
activos (supuesto)</t>
  </si>
  <si>
    <t xml:space="preserve">Techo de
cartera</t>
  </si>
  <si>
    <t xml:space="preserve">Cartera al
inicio</t>
  </si>
  <si>
    <t xml:space="preserve">Cartera al
cierre</t>
  </si>
  <si>
    <t xml:space="preserve">Ingreso recurrente
del año (MXN)</t>
  </si>
  <si>
    <t xml:space="preserve">Ingreso por
setups (MXN)</t>
  </si>
  <si>
    <t xml:space="preserve">Año 4</t>
  </si>
  <si>
    <t xml:space="preserve">Año 5</t>
  </si>
  <si>
    <t xml:space="preserve">Año 6</t>
  </si>
  <si>
    <t xml:space="preserve">Nota: la meta de mercado no es el cuello de botella — necesitas ~80-100 clientes activos de un mercado obtenible de ~9,000 (hoja 'Resumen'). El cuello de botella real es operativo: pasar de consultor solo a un equipo de 5-6 personas sin perder la calidad que hace verificable el trabajo (auditoría v1/v2), y el ritmo de ventas necesario para llenar esa capacidad nueva cada año. Este modelo no dice si la economía por operador (sueldo vs. ingreso que genera) funciona — sólo que el ingreso agregado es alcanzable.</t>
  </si>
</sst>
</file>

<file path=xl/styles.xml><?xml version="1.0" encoding="utf-8"?>
<styleSheet xmlns="http://schemas.openxmlformats.org/spreadsheetml/2006/main">
  <numFmts count="6">
    <numFmt numFmtId="164" formatCode="General"/>
    <numFmt numFmtId="165" formatCode="#,##0"/>
    <numFmt numFmtId="166" formatCode="0.0%"/>
    <numFmt numFmtId="167" formatCode="#,##0.0"/>
    <numFmt numFmtId="168" formatCode="\$#,##0"/>
    <numFmt numFmtId="169" formatCode="0.00\x"/>
  </numFmts>
  <fonts count="19">
    <font>
      <sz val="11"/>
      <color theme="1"/>
      <name val="Calibri"/>
      <family val="2"/>
      <charset val="1"/>
    </font>
    <font>
      <sz val="10"/>
      <name val="Arial"/>
      <family val="0"/>
    </font>
    <font>
      <sz val="10"/>
      <name val="Arial"/>
      <family val="0"/>
    </font>
    <font>
      <sz val="10"/>
      <name val="Arial"/>
      <family val="0"/>
    </font>
    <font>
      <b val="true"/>
      <sz val="14"/>
      <color rgb="FF1F1F1F"/>
      <name val="Arial"/>
      <family val="0"/>
      <charset val="1"/>
    </font>
    <font>
      <i val="true"/>
      <sz val="10"/>
      <color rgb="FF555555"/>
      <name val="Arial"/>
      <family val="0"/>
      <charset val="1"/>
    </font>
    <font>
      <b val="true"/>
      <sz val="10"/>
      <color rgb="FFFFFFFF"/>
      <name val="Arial"/>
      <family val="0"/>
      <charset val="1"/>
    </font>
    <font>
      <sz val="11"/>
      <color rgb="FF000000"/>
      <name val="Arial"/>
      <family val="0"/>
      <charset val="1"/>
    </font>
    <font>
      <sz val="11"/>
      <color rgb="FF0000FF"/>
      <name val="Arial"/>
      <family val="0"/>
      <charset val="1"/>
    </font>
    <font>
      <i val="true"/>
      <sz val="9"/>
      <color rgb="FF444444"/>
      <name val="Arial"/>
      <family val="0"/>
      <charset val="1"/>
    </font>
    <font>
      <b val="true"/>
      <sz val="11"/>
      <color rgb="FF7A5B00"/>
      <name val="Arial"/>
      <family val="0"/>
      <charset val="1"/>
    </font>
    <font>
      <b val="true"/>
      <sz val="11"/>
      <color rgb="FF0000FF"/>
      <name val="Arial"/>
      <family val="0"/>
      <charset val="1"/>
    </font>
    <font>
      <i val="true"/>
      <sz val="9"/>
      <color rgb="FF555555"/>
      <name val="Arial"/>
      <family val="0"/>
      <charset val="1"/>
    </font>
    <font>
      <b val="true"/>
      <sz val="11"/>
      <color rgb="FF1F1F1F"/>
      <name val="Arial"/>
      <family val="0"/>
      <charset val="1"/>
    </font>
    <font>
      <b val="true"/>
      <sz val="11"/>
      <color rgb="FF000000"/>
      <name val="Arial"/>
      <family val="0"/>
      <charset val="1"/>
    </font>
    <font>
      <b val="true"/>
      <sz val="11"/>
      <color rgb="FF008000"/>
      <name val="Arial"/>
      <family val="0"/>
      <charset val="1"/>
    </font>
    <font>
      <i val="true"/>
      <sz val="9"/>
      <color rgb="FF666666"/>
      <name val="Arial"/>
      <family val="0"/>
      <charset val="1"/>
    </font>
    <font>
      <b val="true"/>
      <sz val="11"/>
      <color rgb="FFFFFFFF"/>
      <name val="Arial"/>
      <family val="0"/>
      <charset val="1"/>
    </font>
    <font>
      <i val="true"/>
      <sz val="9"/>
      <color rgb="FF7A5B00"/>
      <name val="Arial"/>
      <family val="0"/>
      <charset val="1"/>
    </font>
  </fonts>
  <fills count="5">
    <fill>
      <patternFill patternType="none"/>
    </fill>
    <fill>
      <patternFill patternType="gray125"/>
    </fill>
    <fill>
      <patternFill patternType="solid">
        <fgColor rgb="FF2E4053"/>
        <bgColor rgb="FF444444"/>
      </patternFill>
    </fill>
    <fill>
      <patternFill patternType="solid">
        <fgColor rgb="FFEAEAEA"/>
        <bgColor rgb="FFFFFFFF"/>
      </patternFill>
    </fill>
    <fill>
      <patternFill patternType="solid">
        <fgColor rgb="FFFFF2AA"/>
        <bgColor rgb="FFEAEAE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10" fillId="3" borderId="0" xfId="0" applyFont="true" applyBorder="true" applyAlignment="false" applyProtection="false">
      <alignment horizontal="general" vertical="bottom" textRotation="0" wrapText="false" indent="0" shrinkToFit="false"/>
      <protection locked="true" hidden="false"/>
    </xf>
    <xf numFmtId="166" fontId="11" fillId="4"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true" applyAlignment="true" applyProtection="false">
      <alignment horizontal="general" vertical="bottom" textRotation="0" wrapText="true" indent="0" shrinkToFit="false"/>
      <protection locked="true" hidden="false"/>
    </xf>
    <xf numFmtId="164" fontId="13" fillId="3" borderId="0"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5" fontId="15" fillId="0" borderId="1" xfId="0" applyFont="true" applyBorder="true" applyAlignment="false" applyProtection="false">
      <alignment horizontal="general" vertical="bottom" textRotation="0" wrapText="false" indent="0" shrinkToFit="false"/>
      <protection locked="true" hidden="false"/>
    </xf>
    <xf numFmtId="164" fontId="16" fillId="0" borderId="1" xfId="0" applyFont="true" applyBorder="true" applyAlignment="false" applyProtection="false">
      <alignment horizontal="general" vertical="bottom" textRotation="0" wrapText="false" indent="0" shrinkToFit="false"/>
      <protection locked="true" hidden="false"/>
    </xf>
    <xf numFmtId="166" fontId="15"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4" fillId="3" borderId="1" xfId="0" applyFont="true" applyBorder="true" applyAlignment="false" applyProtection="false">
      <alignment horizontal="general" vertical="bottom" textRotation="0" wrapText="false" indent="0" shrinkToFit="false"/>
      <protection locked="true" hidden="false"/>
    </xf>
    <xf numFmtId="165" fontId="14" fillId="3" borderId="1" xfId="0" applyFont="true" applyBorder="true" applyAlignment="false" applyProtection="false">
      <alignment horizontal="general"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4" fontId="17" fillId="2" borderId="1" xfId="0" applyFont="true" applyBorder="true" applyAlignment="false" applyProtection="false">
      <alignment horizontal="general" vertical="bottom" textRotation="0" wrapText="false" indent="0" shrinkToFit="false"/>
      <protection locked="true" hidden="false"/>
    </xf>
    <xf numFmtId="165" fontId="17" fillId="2" borderId="1" xfId="0" applyFont="true" applyBorder="true" applyAlignment="false" applyProtection="false">
      <alignment horizontal="general" vertical="bottom" textRotation="0" wrapText="false" indent="0" shrinkToFit="false"/>
      <protection locked="true" hidden="false"/>
    </xf>
    <xf numFmtId="164" fontId="14" fillId="3"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xf numFmtId="167" fontId="11" fillId="4" borderId="1" xfId="0" applyFont="true" applyBorder="true" applyAlignment="false" applyProtection="false">
      <alignment horizontal="general" vertical="bottom" textRotation="0" wrapText="false" indent="0" shrinkToFit="false"/>
      <protection locked="true" hidden="false"/>
    </xf>
    <xf numFmtId="165" fontId="11" fillId="4"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14" fillId="3"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8" fontId="14"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tru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7" fontId="15" fillId="0" borderId="1" xfId="0" applyFont="true" applyBorder="true" applyAlignment="false" applyProtection="false">
      <alignment horizontal="general" vertical="bottom" textRotation="0" wrapText="false" indent="0" shrinkToFit="false"/>
      <protection locked="true" hidden="false"/>
    </xf>
    <xf numFmtId="168" fontId="14" fillId="3" borderId="1" xfId="0" applyFont="true" applyBorder="true" applyAlignment="false" applyProtection="false">
      <alignment horizontal="general" vertical="bottom" textRotation="0" wrapText="false" indent="0" shrinkToFit="false"/>
      <protection locked="true" hidden="false"/>
    </xf>
    <xf numFmtId="169" fontId="11" fillId="4" borderId="1" xfId="0" applyFont="true" applyBorder="true" applyAlignment="false" applyProtection="false">
      <alignment horizontal="general" vertical="bottom" textRotation="0" wrapText="false" indent="0" shrinkToFit="false"/>
      <protection locked="true" hidden="false"/>
    </xf>
    <xf numFmtId="167" fontId="14" fillId="0" borderId="1" xfId="0" applyFont="true" applyBorder="true" applyAlignment="false" applyProtection="false">
      <alignment horizontal="general" vertical="bottom" textRotation="0" wrapText="false" indent="0" shrinkToFit="false"/>
      <protection locked="true" hidden="false"/>
    </xf>
    <xf numFmtId="165" fontId="14"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A5B00"/>
      <rgbColor rgb="FF800080"/>
      <rgbColor rgb="FF008080"/>
      <rgbColor rgb="FFBFBFBF"/>
      <rgbColor rgb="FF555555"/>
      <rgbColor rgb="FF9999FF"/>
      <rgbColor rgb="FF993366"/>
      <rgbColor rgb="FFEAEAE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2AA"/>
      <rgbColor rgb="FF99CCFF"/>
      <rgbColor rgb="FFFF99CC"/>
      <rgbColor rgb="FFCC99FF"/>
      <rgbColor rgb="FFFFCC99"/>
      <rgbColor rgb="FF3366FF"/>
      <rgbColor rgb="FF33CCCC"/>
      <rgbColor rgb="FF99CC00"/>
      <rgbColor rgb="FFFFCC00"/>
      <rgbColor rgb="FFFF9900"/>
      <rgbColor rgb="FFFF6600"/>
      <rgbColor rgb="FF666666"/>
      <rgbColor rgb="FF969696"/>
      <rgbColor rgb="FF003366"/>
      <rgbColor rgb="FF339966"/>
      <rgbColor rgb="FF003300"/>
      <rgbColor rgb="FF1F1F1F"/>
      <rgbColor rgb="FF993300"/>
      <rgbColor rgb="FF993366"/>
      <rgbColor rgb="FF444444"/>
      <rgbColor rgb="FF2E405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58"/>
    <col collapsed="false" customWidth="true" hidden="false" outlineLevel="0" max="2" min="2" style="0" width="14"/>
    <col collapsed="false" customWidth="true" hidden="false" outlineLevel="0" max="3" min="3" style="0" width="22"/>
    <col collapsed="false" customWidth="true" hidden="false" outlineLevel="0" max="4" min="4" style="0" width="62"/>
  </cols>
  <sheetData>
    <row r="1" customFormat="false" ht="17.35" hidden="false" customHeight="false" outlineLevel="0" collapsed="false">
      <c r="A1" s="1" t="s">
        <v>0</v>
      </c>
      <c r="B1" s="1"/>
      <c r="C1" s="1"/>
      <c r="D1" s="1"/>
    </row>
    <row r="2" customFormat="false" ht="15" hidden="false" customHeight="false" outlineLevel="0" collapsed="false">
      <c r="A2" s="2" t="s">
        <v>1</v>
      </c>
      <c r="B2" s="2"/>
      <c r="C2" s="2"/>
      <c r="D2" s="2"/>
    </row>
    <row r="4" customFormat="false" ht="15" hidden="false" customHeight="false" outlineLevel="0" collapsed="false">
      <c r="A4" s="3" t="s">
        <v>2</v>
      </c>
      <c r="B4" s="3" t="s">
        <v>3</v>
      </c>
      <c r="C4" s="3" t="s">
        <v>4</v>
      </c>
      <c r="D4" s="3" t="s">
        <v>5</v>
      </c>
    </row>
    <row r="5" customFormat="false" ht="30" hidden="false" customHeight="true" outlineLevel="0" collapsed="false">
      <c r="A5" s="4" t="s">
        <v>6</v>
      </c>
      <c r="B5" s="5" t="n">
        <v>5451113</v>
      </c>
      <c r="C5" s="6" t="s">
        <v>7</v>
      </c>
      <c r="D5" s="7" t="s">
        <v>8</v>
      </c>
    </row>
    <row r="6" customFormat="false" ht="30" hidden="false" customHeight="true" outlineLevel="0" collapsed="false">
      <c r="A6" s="4" t="s">
        <v>9</v>
      </c>
      <c r="B6" s="8" t="n">
        <v>0.954</v>
      </c>
      <c r="C6" s="6" t="s">
        <v>7</v>
      </c>
      <c r="D6" s="7" t="s">
        <v>10</v>
      </c>
    </row>
    <row r="7" customFormat="false" ht="30" hidden="false" customHeight="true" outlineLevel="0" collapsed="false">
      <c r="A7" s="4" t="s">
        <v>11</v>
      </c>
      <c r="B7" s="8" t="n">
        <v>0.037</v>
      </c>
      <c r="C7" s="6" t="s">
        <v>7</v>
      </c>
      <c r="D7" s="7" t="s">
        <v>10</v>
      </c>
    </row>
    <row r="8" customFormat="false" ht="30" hidden="false" customHeight="true" outlineLevel="0" collapsed="false">
      <c r="A8" s="4" t="s">
        <v>12</v>
      </c>
      <c r="B8" s="8" t="n">
        <v>0.007</v>
      </c>
      <c r="C8" s="6" t="s">
        <v>7</v>
      </c>
      <c r="D8" s="7" t="s">
        <v>10</v>
      </c>
    </row>
    <row r="9" customFormat="false" ht="30" hidden="false" customHeight="true" outlineLevel="0" collapsed="false">
      <c r="A9" s="4" t="s">
        <v>13</v>
      </c>
      <c r="B9" s="8" t="n">
        <v>0.002</v>
      </c>
      <c r="C9" s="6" t="s">
        <v>7</v>
      </c>
      <c r="D9" s="7" t="s">
        <v>10</v>
      </c>
    </row>
    <row r="10" customFormat="false" ht="30" hidden="false" customHeight="true" outlineLevel="0" collapsed="false">
      <c r="A10" s="4" t="s">
        <v>14</v>
      </c>
      <c r="B10" s="8" t="n">
        <v>0.467</v>
      </c>
      <c r="C10" s="6" t="s">
        <v>7</v>
      </c>
      <c r="D10" s="7" t="s">
        <v>15</v>
      </c>
    </row>
    <row r="11" customFormat="false" ht="30" hidden="false" customHeight="true" outlineLevel="0" collapsed="false">
      <c r="A11" s="4" t="s">
        <v>16</v>
      </c>
      <c r="B11" s="8" t="n">
        <v>0.391</v>
      </c>
      <c r="C11" s="6" t="s">
        <v>7</v>
      </c>
      <c r="D11" s="7" t="s">
        <v>17</v>
      </c>
    </row>
    <row r="12" customFormat="false" ht="30" hidden="false" customHeight="true" outlineLevel="0" collapsed="false">
      <c r="A12" s="4" t="s">
        <v>18</v>
      </c>
      <c r="B12" s="8" t="n">
        <v>0.122</v>
      </c>
      <c r="C12" s="6" t="s">
        <v>7</v>
      </c>
      <c r="D12" s="7" t="s">
        <v>17</v>
      </c>
    </row>
    <row r="13" customFormat="false" ht="30" hidden="false" customHeight="true" outlineLevel="0" collapsed="false">
      <c r="A13" s="4" t="s">
        <v>19</v>
      </c>
      <c r="B13" s="8" t="n">
        <v>0.02</v>
      </c>
      <c r="C13" s="6" t="s">
        <v>7</v>
      </c>
      <c r="D13" s="7" t="s">
        <v>17</v>
      </c>
    </row>
    <row r="14" customFormat="false" ht="30" hidden="false" customHeight="true" outlineLevel="0" collapsed="false">
      <c r="A14" s="4" t="s">
        <v>20</v>
      </c>
      <c r="B14" s="5" t="n">
        <v>641000</v>
      </c>
      <c r="C14" s="6" t="s">
        <v>7</v>
      </c>
      <c r="D14" s="7" t="s">
        <v>21</v>
      </c>
    </row>
    <row r="15" customFormat="false" ht="30" hidden="false" customHeight="true" outlineLevel="0" collapsed="false">
      <c r="A15" s="4" t="s">
        <v>22</v>
      </c>
      <c r="B15" s="8" t="n">
        <v>0.96</v>
      </c>
      <c r="C15" s="6" t="s">
        <v>7</v>
      </c>
      <c r="D15" s="7" t="s">
        <v>23</v>
      </c>
    </row>
    <row r="16" customFormat="false" ht="30" hidden="false" customHeight="true" outlineLevel="0" collapsed="false">
      <c r="A16" s="4" t="s">
        <v>24</v>
      </c>
      <c r="B16" s="9" t="n">
        <f aca="false">1-B15</f>
        <v>0.04</v>
      </c>
      <c r="C16" s="6" t="s">
        <v>25</v>
      </c>
      <c r="D16" s="7" t="s">
        <v>26</v>
      </c>
    </row>
    <row r="17" customFormat="false" ht="30" hidden="false" customHeight="true" outlineLevel="0" collapsed="false">
      <c r="A17" s="4" t="s">
        <v>27</v>
      </c>
      <c r="B17" s="5" t="n">
        <v>109630</v>
      </c>
      <c r="C17" s="6" t="s">
        <v>7</v>
      </c>
      <c r="D17" s="7" t="s">
        <v>28</v>
      </c>
    </row>
    <row r="18" customFormat="false" ht="30" hidden="false" customHeight="true" outlineLevel="0" collapsed="false">
      <c r="A18" s="4" t="s">
        <v>29</v>
      </c>
      <c r="B18" s="5" t="n">
        <v>11373</v>
      </c>
      <c r="C18" s="6" t="s">
        <v>7</v>
      </c>
      <c r="D18" s="7" t="s">
        <v>28</v>
      </c>
    </row>
    <row r="19" customFormat="false" ht="30" hidden="false" customHeight="true" outlineLevel="0" collapsed="false">
      <c r="A19" s="4" t="s">
        <v>30</v>
      </c>
      <c r="B19" s="5" t="n">
        <v>11058</v>
      </c>
      <c r="C19" s="6" t="s">
        <v>7</v>
      </c>
      <c r="D19" s="7" t="s">
        <v>28</v>
      </c>
    </row>
    <row r="20" customFormat="false" ht="30" hidden="false" customHeight="true" outlineLevel="0" collapsed="false">
      <c r="A20" s="4" t="s">
        <v>31</v>
      </c>
      <c r="B20" s="5" t="n">
        <v>4182049</v>
      </c>
      <c r="C20" s="6" t="s">
        <v>7</v>
      </c>
      <c r="D20" s="7" t="s">
        <v>32</v>
      </c>
    </row>
    <row r="21" customFormat="false" ht="30" hidden="false" customHeight="true" outlineLevel="0" collapsed="false">
      <c r="A21" s="4" t="s">
        <v>33</v>
      </c>
      <c r="B21" s="8" t="n">
        <v>0.577</v>
      </c>
      <c r="C21" s="6" t="s">
        <v>7</v>
      </c>
      <c r="D21" s="7" t="s">
        <v>34</v>
      </c>
    </row>
    <row r="22" customFormat="false" ht="30" hidden="false" customHeight="true" outlineLevel="0" collapsed="false">
      <c r="A22" s="4" t="s">
        <v>35</v>
      </c>
      <c r="B22" s="8" t="n">
        <v>0.181</v>
      </c>
      <c r="C22" s="6" t="s">
        <v>7</v>
      </c>
      <c r="D22" s="7" t="s">
        <v>34</v>
      </c>
    </row>
    <row r="23" customFormat="false" ht="30" hidden="false" customHeight="true" outlineLevel="0" collapsed="false">
      <c r="A23" s="4" t="s">
        <v>36</v>
      </c>
      <c r="B23" s="8" t="n">
        <v>0.059</v>
      </c>
      <c r="C23" s="6" t="s">
        <v>7</v>
      </c>
      <c r="D23" s="7" t="s">
        <v>37</v>
      </c>
    </row>
    <row r="24" customFormat="false" ht="30" hidden="false" customHeight="true" outlineLevel="0" collapsed="false">
      <c r="A24" s="4" t="s">
        <v>38</v>
      </c>
      <c r="B24" s="8" t="n">
        <v>0.14</v>
      </c>
      <c r="C24" s="6" t="s">
        <v>7</v>
      </c>
      <c r="D24" s="7" t="s">
        <v>39</v>
      </c>
    </row>
    <row r="26" customFormat="false" ht="15" hidden="false" customHeight="false" outlineLevel="0" collapsed="false">
      <c r="A26" s="10" t="s">
        <v>40</v>
      </c>
      <c r="B26" s="10"/>
      <c r="C26" s="10"/>
      <c r="D26" s="10"/>
    </row>
    <row r="27" customFormat="false" ht="42" hidden="false" customHeight="true" outlineLevel="0" collapsed="false">
      <c r="A27" s="4" t="s">
        <v>41</v>
      </c>
      <c r="B27" s="11" t="n">
        <v>0.25</v>
      </c>
      <c r="C27" s="12" t="s">
        <v>42</v>
      </c>
      <c r="D27" s="7" t="s">
        <v>43</v>
      </c>
    </row>
    <row r="28" customFormat="false" ht="42" hidden="false" customHeight="true" outlineLevel="0" collapsed="false">
      <c r="A28" s="4" t="s">
        <v>44</v>
      </c>
      <c r="B28" s="11" t="n">
        <v>0.85</v>
      </c>
      <c r="C28" s="12" t="s">
        <v>42</v>
      </c>
      <c r="D28" s="7" t="s">
        <v>45</v>
      </c>
    </row>
    <row r="29" customFormat="false" ht="42" hidden="false" customHeight="true" outlineLevel="0" collapsed="false">
      <c r="A29" s="4" t="s">
        <v>46</v>
      </c>
      <c r="B29" s="11" t="n">
        <v>0.2</v>
      </c>
      <c r="C29" s="12" t="s">
        <v>42</v>
      </c>
      <c r="D29" s="7" t="s">
        <v>47</v>
      </c>
    </row>
    <row r="31" customFormat="false" ht="30" hidden="false" customHeight="true" outlineLevel="0" collapsed="false">
      <c r="A31" s="13" t="s">
        <v>48</v>
      </c>
      <c r="B31" s="13"/>
      <c r="C31" s="13"/>
      <c r="D31" s="13"/>
    </row>
    <row r="33" customFormat="false" ht="15" hidden="false" customHeight="false" outlineLevel="0" collapsed="false">
      <c r="A33" s="14" t="s">
        <v>49</v>
      </c>
      <c r="B33" s="14"/>
      <c r="C33" s="14"/>
      <c r="D33" s="14"/>
    </row>
    <row r="34" customFormat="false" ht="22.35" hidden="false" customHeight="false" outlineLevel="0" collapsed="false">
      <c r="A34" s="4" t="s">
        <v>50</v>
      </c>
      <c r="B34" s="15" t="n">
        <v>4.01</v>
      </c>
      <c r="C34" s="6" t="s">
        <v>7</v>
      </c>
      <c r="D34" s="7" t="s">
        <v>51</v>
      </c>
    </row>
    <row r="35" customFormat="false" ht="22.35" hidden="false" customHeight="false" outlineLevel="0" collapsed="false">
      <c r="A35" s="4" t="s">
        <v>52</v>
      </c>
      <c r="B35" s="15" t="n">
        <v>100</v>
      </c>
      <c r="C35" s="6" t="s">
        <v>7</v>
      </c>
      <c r="D35" s="7" t="s">
        <v>51</v>
      </c>
    </row>
    <row r="36" customFormat="false" ht="22.35" hidden="false" customHeight="false" outlineLevel="0" collapsed="false">
      <c r="A36" s="4" t="s">
        <v>53</v>
      </c>
      <c r="B36" s="15" t="n">
        <v>250</v>
      </c>
      <c r="C36" s="6" t="s">
        <v>7</v>
      </c>
      <c r="D36" s="7" t="s">
        <v>51</v>
      </c>
    </row>
  </sheetData>
  <mergeCells count="5">
    <mergeCell ref="A1:D1"/>
    <mergeCell ref="A2:D2"/>
    <mergeCell ref="A26:D26"/>
    <mergeCell ref="A31:D31"/>
    <mergeCell ref="A33:D3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3" min="3" style="0" width="20"/>
    <col collapsed="false" customWidth="true" hidden="false" outlineLevel="0" max="4" min="4" style="0" width="46"/>
  </cols>
  <sheetData>
    <row r="1" customFormat="false" ht="17.35" hidden="false" customHeight="false" outlineLevel="0" collapsed="false">
      <c r="A1" s="1" t="s">
        <v>54</v>
      </c>
      <c r="B1" s="1"/>
      <c r="C1" s="1"/>
      <c r="D1" s="1"/>
    </row>
    <row r="2" customFormat="false" ht="15" hidden="false" customHeight="false" outlineLevel="0" collapsed="false">
      <c r="A2" s="2" t="s">
        <v>55</v>
      </c>
      <c r="B2" s="2"/>
      <c r="C2" s="2"/>
      <c r="D2" s="2"/>
    </row>
    <row r="4" customFormat="false" ht="15" hidden="false" customHeight="false" outlineLevel="0" collapsed="false">
      <c r="A4" s="3" t="s">
        <v>56</v>
      </c>
      <c r="B4" s="3" t="s">
        <v>57</v>
      </c>
      <c r="C4" s="3" t="s">
        <v>3</v>
      </c>
      <c r="D4" s="3" t="s">
        <v>58</v>
      </c>
    </row>
    <row r="5" customFormat="false" ht="15" hidden="false" customHeight="false" outlineLevel="0" collapsed="false">
      <c r="A5" s="16" t="n">
        <v>1</v>
      </c>
      <c r="B5" s="6" t="s">
        <v>59</v>
      </c>
      <c r="C5" s="17" t="n">
        <f aca="false">Fuentes!$B$17</f>
        <v>109630</v>
      </c>
      <c r="D5" s="18" t="s">
        <v>60</v>
      </c>
    </row>
    <row r="6" customFormat="false" ht="15" hidden="false" customHeight="false" outlineLevel="0" collapsed="false">
      <c r="A6" s="16" t="n">
        <v>2</v>
      </c>
      <c r="B6" s="6" t="s">
        <v>61</v>
      </c>
      <c r="C6" s="19" t="n">
        <f aca="false">Fuentes!$B$27</f>
        <v>0.25</v>
      </c>
      <c r="D6" s="18" t="s">
        <v>62</v>
      </c>
    </row>
    <row r="7" customFormat="false" ht="15" hidden="false" customHeight="false" outlineLevel="0" collapsed="false">
      <c r="A7" s="20"/>
      <c r="B7" s="21" t="s">
        <v>63</v>
      </c>
      <c r="C7" s="22" t="n">
        <f aca="false">C5*C6</f>
        <v>27407.5</v>
      </c>
      <c r="D7" s="20"/>
    </row>
    <row r="8" customFormat="false" ht="15" hidden="false" customHeight="false" outlineLevel="0" collapsed="false">
      <c r="A8" s="16" t="n">
        <v>3</v>
      </c>
      <c r="B8" s="6" t="s">
        <v>64</v>
      </c>
      <c r="C8" s="19" t="n">
        <f aca="false">Fuentes!$B$28</f>
        <v>0.85</v>
      </c>
      <c r="D8" s="18" t="s">
        <v>65</v>
      </c>
    </row>
    <row r="9" customFormat="false" ht="15" hidden="false" customHeight="false" outlineLevel="0" collapsed="false">
      <c r="A9" s="20"/>
      <c r="B9" s="21" t="s">
        <v>66</v>
      </c>
      <c r="C9" s="22" t="n">
        <f aca="false">C7*C8</f>
        <v>23296.375</v>
      </c>
      <c r="D9" s="20"/>
    </row>
    <row r="10" customFormat="false" ht="15" hidden="false" customHeight="false" outlineLevel="0" collapsed="false">
      <c r="A10" s="16" t="n">
        <v>4</v>
      </c>
      <c r="B10" s="6" t="s">
        <v>67</v>
      </c>
      <c r="C10" s="19" t="n">
        <f aca="false">Fuentes!$B$29</f>
        <v>0.2</v>
      </c>
      <c r="D10" s="18" t="s">
        <v>65</v>
      </c>
    </row>
    <row r="11" customFormat="false" ht="15" hidden="false" customHeight="false" outlineLevel="0" collapsed="false">
      <c r="A11" s="23"/>
      <c r="B11" s="24" t="s">
        <v>68</v>
      </c>
      <c r="C11" s="25" t="n">
        <f aca="false">C9*C10</f>
        <v>4659.275</v>
      </c>
      <c r="D11" s="23"/>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3" min="3" style="0" width="20"/>
    <col collapsed="false" customWidth="true" hidden="false" outlineLevel="0" max="4" min="4" style="0" width="46"/>
  </cols>
  <sheetData>
    <row r="1" customFormat="false" ht="17.35" hidden="false" customHeight="false" outlineLevel="0" collapsed="false">
      <c r="A1" s="1" t="s">
        <v>69</v>
      </c>
      <c r="B1" s="1"/>
      <c r="C1" s="1"/>
      <c r="D1" s="1"/>
    </row>
    <row r="2" customFormat="false" ht="15" hidden="false" customHeight="false" outlineLevel="0" collapsed="false">
      <c r="A2" s="2" t="s">
        <v>55</v>
      </c>
      <c r="B2" s="2"/>
      <c r="C2" s="2"/>
      <c r="D2" s="2"/>
    </row>
    <row r="4" customFormat="false" ht="15" hidden="false" customHeight="false" outlineLevel="0" collapsed="false">
      <c r="A4" s="3" t="s">
        <v>56</v>
      </c>
      <c r="B4" s="3" t="s">
        <v>57</v>
      </c>
      <c r="C4" s="3" t="s">
        <v>3</v>
      </c>
      <c r="D4" s="3" t="s">
        <v>58</v>
      </c>
    </row>
    <row r="5" customFormat="false" ht="15" hidden="false" customHeight="false" outlineLevel="0" collapsed="false">
      <c r="A5" s="16" t="n">
        <v>1</v>
      </c>
      <c r="B5" s="6" t="s">
        <v>20</v>
      </c>
      <c r="C5" s="17" t="n">
        <f aca="false">Fuentes!$B$14</f>
        <v>641000</v>
      </c>
      <c r="D5" s="18" t="s">
        <v>60</v>
      </c>
    </row>
    <row r="6" customFormat="false" ht="15" hidden="false" customHeight="false" outlineLevel="0" collapsed="false">
      <c r="A6" s="16" t="n">
        <v>2</v>
      </c>
      <c r="B6" s="6" t="s">
        <v>70</v>
      </c>
      <c r="C6" s="19" t="n">
        <f aca="false">Fuentes!$B$16</f>
        <v>0.04</v>
      </c>
      <c r="D6" s="18" t="s">
        <v>62</v>
      </c>
    </row>
    <row r="7" customFormat="false" ht="15" hidden="false" customHeight="false" outlineLevel="0" collapsed="false">
      <c r="A7" s="20"/>
      <c r="B7" s="21" t="s">
        <v>63</v>
      </c>
      <c r="C7" s="22" t="n">
        <f aca="false">C5*C6</f>
        <v>25640</v>
      </c>
      <c r="D7" s="20"/>
    </row>
    <row r="8" customFormat="false" ht="15" hidden="false" customHeight="false" outlineLevel="0" collapsed="false">
      <c r="A8" s="16" t="n">
        <v>3</v>
      </c>
      <c r="B8" s="6" t="s">
        <v>64</v>
      </c>
      <c r="C8" s="19" t="n">
        <f aca="false">Fuentes!$B$28</f>
        <v>0.85</v>
      </c>
      <c r="D8" s="18" t="s">
        <v>65</v>
      </c>
    </row>
    <row r="9" customFormat="false" ht="15" hidden="false" customHeight="false" outlineLevel="0" collapsed="false">
      <c r="A9" s="20"/>
      <c r="B9" s="21" t="s">
        <v>66</v>
      </c>
      <c r="C9" s="22" t="n">
        <f aca="false">C7*C8</f>
        <v>21794</v>
      </c>
      <c r="D9" s="20"/>
    </row>
    <row r="10" customFormat="false" ht="15" hidden="false" customHeight="false" outlineLevel="0" collapsed="false">
      <c r="A10" s="16" t="n">
        <v>4</v>
      </c>
      <c r="B10" s="6" t="s">
        <v>67</v>
      </c>
      <c r="C10" s="19" t="n">
        <f aca="false">Fuentes!$B$29</f>
        <v>0.2</v>
      </c>
      <c r="D10" s="18" t="s">
        <v>65</v>
      </c>
    </row>
    <row r="11" customFormat="false" ht="15" hidden="false" customHeight="false" outlineLevel="0" collapsed="false">
      <c r="A11" s="23"/>
      <c r="B11" s="24" t="s">
        <v>71</v>
      </c>
      <c r="C11" s="25" t="n">
        <f aca="false">C9*C10</f>
        <v>4358.8</v>
      </c>
      <c r="D11" s="23"/>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16"/>
    <col collapsed="false" customWidth="true" hidden="false" outlineLevel="0" max="5" min="5" style="0" width="46"/>
  </cols>
  <sheetData>
    <row r="1" customFormat="false" ht="17.35" hidden="false" customHeight="false" outlineLevel="0" collapsed="false">
      <c r="A1" s="1" t="s">
        <v>72</v>
      </c>
      <c r="B1" s="1"/>
      <c r="C1" s="1"/>
      <c r="D1" s="1"/>
      <c r="E1" s="1"/>
    </row>
    <row r="2" customFormat="false" ht="15" hidden="false" customHeight="false" outlineLevel="0" collapsed="false">
      <c r="A2" s="2" t="s">
        <v>73</v>
      </c>
      <c r="B2" s="2"/>
      <c r="C2" s="2"/>
      <c r="D2" s="2"/>
      <c r="E2" s="2"/>
    </row>
    <row r="4" customFormat="false" ht="15" hidden="false" customHeight="false" outlineLevel="0" collapsed="false">
      <c r="A4" s="26" t="s">
        <v>74</v>
      </c>
      <c r="B4" s="26"/>
    </row>
    <row r="5" customFormat="false" ht="15" hidden="false" customHeight="false" outlineLevel="0" collapsed="false">
      <c r="A5" s="27" t="s">
        <v>75</v>
      </c>
      <c r="B5" s="28" t="n">
        <f aca="false">'Via A'!C11</f>
        <v>4659.275</v>
      </c>
    </row>
    <row r="6" customFormat="false" ht="15" hidden="false" customHeight="false" outlineLevel="0" collapsed="false">
      <c r="A6" s="27" t="s">
        <v>76</v>
      </c>
      <c r="B6" s="28" t="n">
        <f aca="false">'Via B'!C11</f>
        <v>4358.8</v>
      </c>
    </row>
    <row r="7" customFormat="false" ht="15" hidden="false" customHeight="false" outlineLevel="0" collapsed="false">
      <c r="A7" s="24" t="s">
        <v>77</v>
      </c>
      <c r="B7" s="25" t="n">
        <f aca="false">B5+B6</f>
        <v>9018.075</v>
      </c>
    </row>
    <row r="9" customFormat="false" ht="15" hidden="false" customHeight="false" outlineLevel="0" collapsed="false">
      <c r="A9" s="26" t="s">
        <v>78</v>
      </c>
      <c r="B9" s="26"/>
    </row>
    <row r="10" customFormat="false" ht="15" hidden="false" customHeight="false" outlineLevel="0" collapsed="false">
      <c r="A10" s="3" t="s">
        <v>79</v>
      </c>
      <c r="B10" s="3" t="s">
        <v>80</v>
      </c>
    </row>
    <row r="11" customFormat="false" ht="15" hidden="false" customHeight="false" outlineLevel="0" collapsed="false">
      <c r="A11" s="5" t="n">
        <v>10</v>
      </c>
      <c r="B11" s="9" t="n">
        <f aca="false">A11/$B$7</f>
        <v>0.00110888410220585</v>
      </c>
    </row>
    <row r="12" customFormat="false" ht="15" hidden="false" customHeight="false" outlineLevel="0" collapsed="false">
      <c r="A12" s="5" t="n">
        <v>25</v>
      </c>
      <c r="B12" s="9" t="n">
        <f aca="false">A12/$B$7</f>
        <v>0.00277221025551462</v>
      </c>
    </row>
    <row r="13" customFormat="false" ht="15" hidden="false" customHeight="false" outlineLevel="0" collapsed="false">
      <c r="A13" s="5" t="n">
        <v>50</v>
      </c>
      <c r="B13" s="9" t="n">
        <f aca="false">A13/$B$7</f>
        <v>0.00554442051102924</v>
      </c>
    </row>
    <row r="14" customFormat="false" ht="15" hidden="false" customHeight="false" outlineLevel="0" collapsed="false">
      <c r="A14" s="5" t="n">
        <v>100</v>
      </c>
      <c r="B14" s="9" t="n">
        <f aca="false">A14/$B$7</f>
        <v>0.0110888410220585</v>
      </c>
    </row>
    <row r="16" customFormat="false" ht="15" hidden="false" customHeight="false" outlineLevel="0" collapsed="false">
      <c r="A16" s="26" t="s">
        <v>81</v>
      </c>
      <c r="B16" s="26"/>
    </row>
    <row r="17" customFormat="false" ht="15" hidden="false" customHeight="false" outlineLevel="0" collapsed="false">
      <c r="A17" s="6" t="s">
        <v>82</v>
      </c>
      <c r="B17" s="29" t="n">
        <v>1.5</v>
      </c>
    </row>
    <row r="18" customFormat="false" ht="15" hidden="false" customHeight="false" outlineLevel="0" collapsed="false">
      <c r="A18" s="6" t="s">
        <v>83</v>
      </c>
      <c r="B18" s="11" t="n">
        <v>0.1</v>
      </c>
    </row>
    <row r="19" customFormat="false" ht="15" hidden="false" customHeight="false" outlineLevel="0" collapsed="false">
      <c r="A19" s="6" t="s">
        <v>84</v>
      </c>
      <c r="B19" s="30" t="n">
        <v>18</v>
      </c>
    </row>
    <row r="21" customFormat="false" ht="23.85" hidden="false" customHeight="false" outlineLevel="0" collapsed="false">
      <c r="A21" s="3" t="s">
        <v>85</v>
      </c>
      <c r="B21" s="3" t="s">
        <v>86</v>
      </c>
      <c r="C21" s="3" t="s">
        <v>87</v>
      </c>
      <c r="D21" s="3" t="s">
        <v>88</v>
      </c>
    </row>
    <row r="22" customFormat="false" ht="15" hidden="false" customHeight="false" outlineLevel="0" collapsed="false">
      <c r="A22" s="16" t="s">
        <v>89</v>
      </c>
      <c r="B22" s="31" t="n">
        <f aca="false">$B$17*4</f>
        <v>6</v>
      </c>
      <c r="C22" s="31" t="n">
        <v>0</v>
      </c>
      <c r="D22" s="32" t="n">
        <f aca="false">MIN($B$19, C22*(1-$B$18)+B22)</f>
        <v>6</v>
      </c>
    </row>
    <row r="23" customFormat="false" ht="15" hidden="false" customHeight="false" outlineLevel="0" collapsed="false">
      <c r="A23" s="16" t="s">
        <v>90</v>
      </c>
      <c r="B23" s="31" t="n">
        <f aca="false">$B$17*4</f>
        <v>6</v>
      </c>
      <c r="C23" s="31" t="n">
        <f aca="false">D22</f>
        <v>6</v>
      </c>
      <c r="D23" s="32" t="n">
        <f aca="false">MIN($B$19, C23*(1-$B$18)+B23)</f>
        <v>11.4</v>
      </c>
    </row>
    <row r="24" customFormat="false" ht="15" hidden="false" customHeight="false" outlineLevel="0" collapsed="false">
      <c r="A24" s="16" t="s">
        <v>91</v>
      </c>
      <c r="B24" s="31" t="n">
        <f aca="false">$B$17*4</f>
        <v>6</v>
      </c>
      <c r="C24" s="31" t="n">
        <f aca="false">D23</f>
        <v>11.4</v>
      </c>
      <c r="D24" s="32" t="n">
        <f aca="false">MIN($B$19, C24*(1-$B$18)+B24)</f>
        <v>16.26</v>
      </c>
    </row>
    <row r="26" customFormat="false" ht="15" hidden="false" customHeight="false" outlineLevel="0" collapsed="false">
      <c r="A26" s="26" t="s">
        <v>92</v>
      </c>
      <c r="B26" s="26"/>
    </row>
    <row r="27" customFormat="false" ht="15" hidden="false" customHeight="false" outlineLevel="0" collapsed="false">
      <c r="A27" s="6" t="s">
        <v>93</v>
      </c>
      <c r="B27" s="19" t="n">
        <f aca="false">(Fuentes!$B$18+Fuentes!$B$19)/Fuentes!$B$17</f>
        <v>0.204606403356745</v>
      </c>
    </row>
    <row r="28" customFormat="false" ht="30" hidden="false" customHeight="true" outlineLevel="0" collapsed="false">
      <c r="A28" s="13" t="s">
        <v>94</v>
      </c>
      <c r="B28" s="13"/>
      <c r="C28" s="13"/>
      <c r="D28" s="13"/>
      <c r="E28" s="13"/>
    </row>
    <row r="30" customFormat="false" ht="15" hidden="false" customHeight="false" outlineLevel="0" collapsed="false">
      <c r="A30" s="26" t="s">
        <v>95</v>
      </c>
      <c r="B30" s="26"/>
    </row>
    <row r="31" customFormat="false" ht="15" hidden="false" customHeight="false" outlineLevel="0" collapsed="false">
      <c r="A31" s="6" t="s">
        <v>96</v>
      </c>
      <c r="B31" s="33" t="n">
        <v>100000</v>
      </c>
    </row>
    <row r="32" customFormat="false" ht="15" hidden="false" customHeight="false" outlineLevel="0" collapsed="false">
      <c r="A32" s="6" t="s">
        <v>97</v>
      </c>
      <c r="B32" s="33" t="n">
        <v>30000</v>
      </c>
    </row>
    <row r="33" customFormat="false" ht="15" hidden="false" customHeight="false" outlineLevel="0" collapsed="false">
      <c r="A33" s="6" t="s">
        <v>98</v>
      </c>
      <c r="B33" s="34" t="n">
        <f aca="false">B31+B32*12</f>
        <v>460000</v>
      </c>
    </row>
    <row r="34" customFormat="false" ht="15" hidden="false" customHeight="false" outlineLevel="0" collapsed="false">
      <c r="A34" s="6" t="s">
        <v>99</v>
      </c>
      <c r="B34" s="34" t="n">
        <f aca="false">B32*12</f>
        <v>360000</v>
      </c>
    </row>
    <row r="36" customFormat="false" ht="30" hidden="false" customHeight="true" outlineLevel="0" collapsed="false">
      <c r="A36" s="4" t="s">
        <v>100</v>
      </c>
      <c r="B36" s="11" t="n">
        <v>0.08</v>
      </c>
    </row>
    <row r="37" customFormat="false" ht="15" hidden="false" customHeight="false" outlineLevel="0" collapsed="false">
      <c r="A37" s="6" t="s">
        <v>101</v>
      </c>
      <c r="B37" s="35" t="n">
        <f aca="false">B33/B36</f>
        <v>5750000</v>
      </c>
    </row>
    <row r="38" customFormat="false" ht="15" hidden="false" customHeight="false" outlineLevel="0" collapsed="false">
      <c r="A38" s="6" t="s">
        <v>102</v>
      </c>
      <c r="B38" s="35" t="n">
        <f aca="false">B34/B36</f>
        <v>4500000</v>
      </c>
    </row>
    <row r="39" customFormat="false" ht="42" hidden="false" customHeight="true" outlineLevel="0" collapsed="false">
      <c r="A39" s="13" t="s">
        <v>103</v>
      </c>
      <c r="B39" s="13"/>
      <c r="C39" s="13"/>
      <c r="D39" s="13"/>
      <c r="E39" s="13"/>
    </row>
    <row r="41" customFormat="false" ht="30" hidden="false" customHeight="true" outlineLevel="0" collapsed="false">
      <c r="A41" s="4" t="s">
        <v>104</v>
      </c>
      <c r="B41" s="11" t="n">
        <v>0.35</v>
      </c>
    </row>
    <row r="42" customFormat="false" ht="15" hidden="false" customHeight="false" outlineLevel="0" collapsed="false">
      <c r="A42" s="24" t="s">
        <v>105</v>
      </c>
      <c r="B42" s="25" t="n">
        <f aca="false">B7*B41</f>
        <v>3156.32625</v>
      </c>
    </row>
    <row r="43" customFormat="false" ht="54.75" hidden="false" customHeight="true" outlineLevel="0" collapsed="false">
      <c r="A43" s="36" t="s">
        <v>106</v>
      </c>
      <c r="B43" s="36"/>
      <c r="C43" s="36"/>
      <c r="D43" s="36"/>
      <c r="E43" s="36"/>
    </row>
  </sheetData>
  <mergeCells count="10">
    <mergeCell ref="A1:E1"/>
    <mergeCell ref="A2:E2"/>
    <mergeCell ref="A4:B4"/>
    <mergeCell ref="A9:B9"/>
    <mergeCell ref="A16:B16"/>
    <mergeCell ref="A26:B26"/>
    <mergeCell ref="A28:E28"/>
    <mergeCell ref="A30:B30"/>
    <mergeCell ref="A39:E39"/>
    <mergeCell ref="A43:E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46"/>
    <col collapsed="false" customWidth="true" hidden="false" outlineLevel="0" max="4" min="2" style="0" width="18"/>
  </cols>
  <sheetData>
    <row r="1" customFormat="false" ht="17.35" hidden="false" customHeight="false" outlineLevel="0" collapsed="false">
      <c r="A1" s="1" t="s">
        <v>107</v>
      </c>
      <c r="B1" s="1"/>
      <c r="C1" s="1"/>
      <c r="D1" s="1"/>
    </row>
    <row r="2" customFormat="false" ht="15" hidden="false" customHeight="false" outlineLevel="0" collapsed="false">
      <c r="A2" s="2" t="s">
        <v>108</v>
      </c>
      <c r="B2" s="2"/>
      <c r="C2" s="2"/>
      <c r="D2" s="2"/>
    </row>
    <row r="4" customFormat="false" ht="15" hidden="false" customHeight="false" outlineLevel="0" collapsed="false">
      <c r="A4" s="3" t="s">
        <v>2</v>
      </c>
      <c r="B4" s="3" t="s">
        <v>109</v>
      </c>
      <c r="C4" s="3" t="s">
        <v>110</v>
      </c>
      <c r="D4" s="3" t="s">
        <v>111</v>
      </c>
    </row>
    <row r="5" customFormat="false" ht="15" hidden="false" customHeight="false" outlineLevel="0" collapsed="false">
      <c r="A5" s="6" t="s">
        <v>112</v>
      </c>
      <c r="B5" s="8" t="n">
        <v>0.15</v>
      </c>
      <c r="C5" s="19" t="n">
        <f aca="false">Fuentes!$B$27</f>
        <v>0.25</v>
      </c>
      <c r="D5" s="8" t="n">
        <v>0.35</v>
      </c>
    </row>
    <row r="6" customFormat="false" ht="15" hidden="false" customHeight="false" outlineLevel="0" collapsed="false">
      <c r="A6" s="6" t="s">
        <v>113</v>
      </c>
      <c r="B6" s="8" t="n">
        <v>0.75</v>
      </c>
      <c r="C6" s="19" t="n">
        <f aca="false">Fuentes!$B$28</f>
        <v>0.85</v>
      </c>
      <c r="D6" s="8" t="n">
        <v>0.9</v>
      </c>
    </row>
    <row r="7" customFormat="false" ht="15" hidden="false" customHeight="false" outlineLevel="0" collapsed="false">
      <c r="A7" s="6" t="s">
        <v>67</v>
      </c>
      <c r="B7" s="8" t="n">
        <v>0.1</v>
      </c>
      <c r="C7" s="19" t="n">
        <f aca="false">Fuentes!$B$29</f>
        <v>0.2</v>
      </c>
      <c r="D7" s="8" t="n">
        <v>0.3</v>
      </c>
    </row>
    <row r="9" customFormat="false" ht="15" hidden="false" customHeight="false" outlineLevel="0" collapsed="false">
      <c r="A9" s="16" t="s">
        <v>114</v>
      </c>
      <c r="B9" s="37" t="n">
        <f aca="false">Fuentes!$B$17*B5*B6*B7</f>
        <v>1233.3375</v>
      </c>
      <c r="C9" s="37" t="n">
        <f aca="false">Fuentes!$B$17*C5*C6*C7</f>
        <v>4659.275</v>
      </c>
      <c r="D9" s="37" t="n">
        <f aca="false">Fuentes!$B$17*D5*D6*D7</f>
        <v>10360.035</v>
      </c>
    </row>
    <row r="10" customFormat="false" ht="15" hidden="false" customHeight="false" outlineLevel="0" collapsed="false">
      <c r="A10" s="16" t="s">
        <v>115</v>
      </c>
      <c r="B10" s="37" t="n">
        <f aca="false">Fuentes!$B$14*Fuentes!$B$16*B6*B7</f>
        <v>1923</v>
      </c>
      <c r="C10" s="37" t="n">
        <f aca="false">Fuentes!$B$14*Fuentes!$B$16*C6*C7</f>
        <v>4358.8</v>
      </c>
      <c r="D10" s="37" t="n">
        <f aca="false">Fuentes!$B$14*Fuentes!$B$16*D6*D7</f>
        <v>6922.80000000001</v>
      </c>
    </row>
    <row r="11" customFormat="false" ht="15" hidden="false" customHeight="false" outlineLevel="0" collapsed="false">
      <c r="A11" s="24" t="s">
        <v>116</v>
      </c>
      <c r="B11" s="25" t="n">
        <f aca="false">B9+B10</f>
        <v>3156.3375</v>
      </c>
      <c r="C11" s="25" t="n">
        <f aca="false">C9+C10</f>
        <v>9018.075</v>
      </c>
      <c r="D11" s="25" t="n">
        <f aca="false">D9+D10</f>
        <v>17282.835</v>
      </c>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5" min="2" style="0" width="20"/>
    <col collapsed="false" customWidth="true" hidden="false" outlineLevel="0" max="6" min="6" style="0" width="22"/>
    <col collapsed="false" customWidth="true" hidden="false" outlineLevel="0" max="7" min="7" style="0" width="20"/>
  </cols>
  <sheetData>
    <row r="1" customFormat="false" ht="17.35" hidden="false" customHeight="false" outlineLevel="0" collapsed="false">
      <c r="A1" s="1" t="s">
        <v>117</v>
      </c>
      <c r="B1" s="1"/>
      <c r="C1" s="1"/>
      <c r="D1" s="1"/>
      <c r="E1" s="1"/>
      <c r="F1" s="1"/>
      <c r="G1" s="1"/>
    </row>
    <row r="2" customFormat="false" ht="15" hidden="false" customHeight="false" outlineLevel="0" collapsed="false">
      <c r="A2" s="2" t="s">
        <v>118</v>
      </c>
      <c r="B2" s="2"/>
      <c r="C2" s="2"/>
      <c r="D2" s="2"/>
      <c r="E2" s="2"/>
      <c r="F2" s="2"/>
      <c r="G2" s="2"/>
    </row>
    <row r="4" customFormat="false" ht="15" hidden="false" customHeight="false" outlineLevel="0" collapsed="false">
      <c r="A4" s="26" t="s">
        <v>119</v>
      </c>
      <c r="B4" s="26"/>
      <c r="C4" s="26"/>
      <c r="D4" s="26"/>
      <c r="E4" s="26"/>
      <c r="F4" s="26"/>
      <c r="G4" s="26"/>
    </row>
    <row r="5" customFormat="false" ht="23.85" hidden="false" customHeight="false" outlineLevel="0" collapsed="false">
      <c r="A5" s="3" t="s">
        <v>85</v>
      </c>
      <c r="B5" s="3" t="s">
        <v>120</v>
      </c>
      <c r="C5" s="3" t="s">
        <v>121</v>
      </c>
      <c r="D5" s="3" t="s">
        <v>122</v>
      </c>
      <c r="E5" s="3" t="s">
        <v>123</v>
      </c>
      <c r="F5" s="3" t="s">
        <v>124</v>
      </c>
      <c r="G5" s="3" t="s">
        <v>125</v>
      </c>
    </row>
    <row r="6" customFormat="false" ht="15" hidden="false" customHeight="false" outlineLevel="0" collapsed="false">
      <c r="A6" s="16" t="str">
        <f aca="false">Resumen!A22</f>
        <v>Año 1</v>
      </c>
      <c r="B6" s="38" t="n">
        <f aca="false">Resumen!B22</f>
        <v>6</v>
      </c>
      <c r="C6" s="38" t="n">
        <f aca="false">Resumen!C22</f>
        <v>0</v>
      </c>
      <c r="D6" s="38" t="n">
        <f aca="false">Resumen!D22</f>
        <v>6</v>
      </c>
      <c r="E6" s="35" t="n">
        <f aca="false">B6*Resumen!$B$31</f>
        <v>600000</v>
      </c>
      <c r="F6" s="35" t="n">
        <f aca="false">AVERAGE(C6,D6)*Resumen!$B$32*12</f>
        <v>1080000</v>
      </c>
      <c r="G6" s="39" t="n">
        <f aca="false">E6+F6</f>
        <v>1680000</v>
      </c>
    </row>
    <row r="7" customFormat="false" ht="15" hidden="false" customHeight="false" outlineLevel="0" collapsed="false">
      <c r="A7" s="16" t="str">
        <f aca="false">Resumen!A23</f>
        <v>Año 2</v>
      </c>
      <c r="B7" s="38" t="n">
        <f aca="false">Resumen!B23</f>
        <v>6</v>
      </c>
      <c r="C7" s="38" t="n">
        <f aca="false">Resumen!C23</f>
        <v>6</v>
      </c>
      <c r="D7" s="38" t="n">
        <f aca="false">Resumen!D23</f>
        <v>11.4</v>
      </c>
      <c r="E7" s="35" t="n">
        <f aca="false">B7*Resumen!$B$31</f>
        <v>600000</v>
      </c>
      <c r="F7" s="35" t="n">
        <f aca="false">AVERAGE(C7,D7)*Resumen!$B$32*12</f>
        <v>3132000</v>
      </c>
      <c r="G7" s="39" t="n">
        <f aca="false">E7+F7</f>
        <v>3732000</v>
      </c>
    </row>
    <row r="8" customFormat="false" ht="15" hidden="false" customHeight="false" outlineLevel="0" collapsed="false">
      <c r="A8" s="16" t="str">
        <f aca="false">Resumen!A24</f>
        <v>Año 3</v>
      </c>
      <c r="B8" s="38" t="n">
        <f aca="false">Resumen!B24</f>
        <v>6</v>
      </c>
      <c r="C8" s="38" t="n">
        <f aca="false">Resumen!C24</f>
        <v>11.4</v>
      </c>
      <c r="D8" s="38" t="n">
        <f aca="false">Resumen!D24</f>
        <v>16.26</v>
      </c>
      <c r="E8" s="35" t="n">
        <f aca="false">B8*Resumen!$B$31</f>
        <v>600000</v>
      </c>
      <c r="F8" s="35" t="n">
        <f aca="false">AVERAGE(C8,D8)*Resumen!$B$32*12</f>
        <v>4978800</v>
      </c>
      <c r="G8" s="39" t="n">
        <f aca="false">E8+F8</f>
        <v>5578800</v>
      </c>
    </row>
    <row r="10" customFormat="false" ht="15" hidden="false" customHeight="false" outlineLevel="0" collapsed="false">
      <c r="A10" s="6" t="s">
        <v>126</v>
      </c>
      <c r="B10" s="34" t="n">
        <f aca="false">Resumen!D24*Resumen!$B$32*12</f>
        <v>5853600</v>
      </c>
    </row>
    <row r="12" customFormat="false" ht="15" hidden="false" customHeight="false" outlineLevel="0" collapsed="false">
      <c r="A12" s="26" t="s">
        <v>127</v>
      </c>
      <c r="B12" s="26"/>
      <c r="C12" s="26"/>
    </row>
    <row r="13" customFormat="false" ht="42" hidden="false" customHeight="true" outlineLevel="0" collapsed="false">
      <c r="A13" s="13" t="s">
        <v>128</v>
      </c>
      <c r="B13" s="13"/>
      <c r="C13" s="13"/>
      <c r="D13" s="13"/>
      <c r="E13" s="13"/>
      <c r="F13" s="13"/>
      <c r="G13" s="13"/>
    </row>
    <row r="14" customFormat="false" ht="15" hidden="false" customHeight="false" outlineLevel="0" collapsed="false">
      <c r="A14" s="3" t="s">
        <v>129</v>
      </c>
      <c r="B14" s="3" t="s">
        <v>130</v>
      </c>
      <c r="C14" s="3" t="s">
        <v>131</v>
      </c>
    </row>
    <row r="15" customFormat="false" ht="15" hidden="false" customHeight="false" outlineLevel="0" collapsed="false">
      <c r="A15" s="16" t="s">
        <v>109</v>
      </c>
      <c r="B15" s="40" t="n">
        <v>0.5</v>
      </c>
      <c r="C15" s="34" t="n">
        <f aca="false">$B$10*B15</f>
        <v>2926800</v>
      </c>
    </row>
    <row r="16" customFormat="false" ht="15" hidden="false" customHeight="false" outlineLevel="0" collapsed="false">
      <c r="A16" s="16" t="s">
        <v>110</v>
      </c>
      <c r="B16" s="40" t="n">
        <v>1</v>
      </c>
      <c r="C16" s="34" t="n">
        <f aca="false">$B$10*B16</f>
        <v>5853600</v>
      </c>
    </row>
    <row r="17" customFormat="false" ht="15" hidden="false" customHeight="false" outlineLevel="0" collapsed="false">
      <c r="A17" s="16" t="s">
        <v>111</v>
      </c>
      <c r="B17" s="40" t="n">
        <v>1.5</v>
      </c>
      <c r="C17" s="34" t="n">
        <f aca="false">$B$10*B17</f>
        <v>8780400</v>
      </c>
    </row>
    <row r="19" customFormat="false" ht="54.75" hidden="false" customHeight="true" outlineLevel="0" collapsed="false">
      <c r="A19" s="36" t="s">
        <v>132</v>
      </c>
      <c r="B19" s="36"/>
      <c r="C19" s="36"/>
      <c r="D19" s="36"/>
      <c r="E19" s="36"/>
      <c r="F19" s="36"/>
      <c r="G19" s="36"/>
    </row>
  </sheetData>
  <mergeCells count="6">
    <mergeCell ref="A1:G1"/>
    <mergeCell ref="A2:G2"/>
    <mergeCell ref="A4:G4"/>
    <mergeCell ref="A12:C12"/>
    <mergeCell ref="A13:G13"/>
    <mergeCell ref="A19:G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3" min="2" style="0" width="20"/>
    <col collapsed="false" customWidth="true" hidden="false" outlineLevel="0" max="6" min="4" style="0" width="18"/>
    <col collapsed="false" customWidth="true" hidden="false" outlineLevel="0" max="7" min="7" style="0" width="20"/>
    <col collapsed="false" customWidth="true" hidden="false" outlineLevel="0" max="8" min="8" style="0" width="18"/>
    <col collapsed="false" customWidth="true" hidden="false" outlineLevel="0" max="9" min="9" style="0" width="20"/>
  </cols>
  <sheetData>
    <row r="1" customFormat="false" ht="17.35" hidden="false" customHeight="false" outlineLevel="0" collapsed="false">
      <c r="A1" s="1" t="s">
        <v>133</v>
      </c>
      <c r="B1" s="1"/>
      <c r="C1" s="1"/>
      <c r="D1" s="1"/>
      <c r="E1" s="1"/>
      <c r="F1" s="1"/>
      <c r="G1" s="1"/>
      <c r="H1" s="1"/>
      <c r="I1" s="1"/>
    </row>
    <row r="2" customFormat="false" ht="15" hidden="false" customHeight="false" outlineLevel="0" collapsed="false">
      <c r="A2" s="2" t="s">
        <v>134</v>
      </c>
      <c r="B2" s="2"/>
      <c r="C2" s="2"/>
      <c r="D2" s="2"/>
      <c r="E2" s="2"/>
      <c r="F2" s="2"/>
      <c r="G2" s="2"/>
      <c r="H2" s="2"/>
      <c r="I2" s="2"/>
    </row>
    <row r="4" customFormat="false" ht="15" hidden="false" customHeight="false" outlineLevel="0" collapsed="false">
      <c r="A4" s="16" t="s">
        <v>135</v>
      </c>
      <c r="B4" s="33" t="n">
        <v>30000000</v>
      </c>
    </row>
    <row r="5" customFormat="false" ht="30" hidden="false" customHeight="true" outlineLevel="0" collapsed="false">
      <c r="A5" s="4" t="s">
        <v>136</v>
      </c>
      <c r="B5" s="41" t="n">
        <f aca="false">B4/(Resumen!$B$32*12)</f>
        <v>83.3333333333333</v>
      </c>
    </row>
    <row r="6" customFormat="false" ht="30" hidden="false" customHeight="true" outlineLevel="0" collapsed="false">
      <c r="A6" s="4" t="s">
        <v>137</v>
      </c>
      <c r="B6" s="42" t="n">
        <f aca="false">ROUNDUP(B5/Resumen!$B$19,0)</f>
        <v>5</v>
      </c>
    </row>
    <row r="7" customFormat="false" ht="30" hidden="false" customHeight="true" outlineLevel="0" collapsed="false">
      <c r="A7" s="4" t="s">
        <v>138</v>
      </c>
      <c r="B7" s="41" t="n">
        <f aca="false">B5*Resumen!$B$18</f>
        <v>8.33333333333333</v>
      </c>
    </row>
    <row r="9" customFormat="false" ht="15" hidden="false" customHeight="false" outlineLevel="0" collapsed="false">
      <c r="A9" s="26" t="s">
        <v>139</v>
      </c>
      <c r="B9" s="26"/>
      <c r="C9" s="26"/>
      <c r="D9" s="26"/>
      <c r="E9" s="26"/>
      <c r="F9" s="26"/>
      <c r="G9" s="26"/>
      <c r="H9" s="26"/>
      <c r="I9" s="26"/>
    </row>
    <row r="10" customFormat="false" ht="30" hidden="false" customHeight="true" outlineLevel="0" collapsed="false">
      <c r="A10" s="13" t="s">
        <v>140</v>
      </c>
      <c r="B10" s="13"/>
      <c r="C10" s="13"/>
      <c r="D10" s="13"/>
      <c r="E10" s="13"/>
      <c r="F10" s="13"/>
      <c r="G10" s="13"/>
      <c r="H10" s="13"/>
      <c r="I10" s="13"/>
    </row>
    <row r="11" customFormat="false" ht="23.85" hidden="false" customHeight="false" outlineLevel="0" collapsed="false">
      <c r="A11" s="3" t="s">
        <v>85</v>
      </c>
      <c r="B11" s="3" t="s">
        <v>141</v>
      </c>
      <c r="C11" s="3" t="s">
        <v>120</v>
      </c>
      <c r="D11" s="3" t="s">
        <v>142</v>
      </c>
      <c r="E11" s="3" t="s">
        <v>143</v>
      </c>
      <c r="F11" s="3" t="s">
        <v>144</v>
      </c>
      <c r="G11" s="3" t="s">
        <v>145</v>
      </c>
      <c r="H11" s="3" t="s">
        <v>146</v>
      </c>
      <c r="I11" s="3" t="s">
        <v>125</v>
      </c>
    </row>
    <row r="12" customFormat="false" ht="15" hidden="false" customHeight="false" outlineLevel="0" collapsed="false">
      <c r="A12" s="16" t="s">
        <v>89</v>
      </c>
      <c r="B12" s="30" t="n">
        <v>1</v>
      </c>
      <c r="C12" s="31" t="n">
        <f aca="false">B12*Resumen!$B$17*4</f>
        <v>6</v>
      </c>
      <c r="D12" s="31" t="n">
        <f aca="false">B12*Resumen!$B$19</f>
        <v>18</v>
      </c>
      <c r="E12" s="31" t="n">
        <v>0</v>
      </c>
      <c r="F12" s="32" t="n">
        <f aca="false">MIN(D12, E12*(1-Resumen!$B$18)+C12)</f>
        <v>6</v>
      </c>
      <c r="G12" s="35" t="n">
        <f aca="false">AVERAGE(E12,F12)*Resumen!$B$32*12</f>
        <v>1080000</v>
      </c>
      <c r="H12" s="35" t="n">
        <f aca="false">C12*Resumen!$B$31</f>
        <v>600000</v>
      </c>
      <c r="I12" s="39" t="n">
        <f aca="false">G12+H12</f>
        <v>1680000</v>
      </c>
    </row>
    <row r="13" customFormat="false" ht="15" hidden="false" customHeight="false" outlineLevel="0" collapsed="false">
      <c r="A13" s="16" t="s">
        <v>90</v>
      </c>
      <c r="B13" s="30" t="n">
        <v>2</v>
      </c>
      <c r="C13" s="31" t="n">
        <f aca="false">B13*Resumen!$B$17*4</f>
        <v>12</v>
      </c>
      <c r="D13" s="31" t="n">
        <f aca="false">B13*Resumen!$B$19</f>
        <v>36</v>
      </c>
      <c r="E13" s="31" t="n">
        <f aca="false">F12</f>
        <v>6</v>
      </c>
      <c r="F13" s="32" t="n">
        <f aca="false">MIN(D13, E13*(1-Resumen!$B$18)+C13)</f>
        <v>17.4</v>
      </c>
      <c r="G13" s="35" t="n">
        <f aca="false">AVERAGE(E13,F13)*Resumen!$B$32*12</f>
        <v>4212000</v>
      </c>
      <c r="H13" s="35" t="n">
        <f aca="false">C13*Resumen!$B$31</f>
        <v>1200000</v>
      </c>
      <c r="I13" s="39" t="n">
        <f aca="false">G13+H13</f>
        <v>5412000</v>
      </c>
    </row>
    <row r="14" customFormat="false" ht="15" hidden="false" customHeight="false" outlineLevel="0" collapsed="false">
      <c r="A14" s="16" t="s">
        <v>91</v>
      </c>
      <c r="B14" s="30" t="n">
        <v>3</v>
      </c>
      <c r="C14" s="31" t="n">
        <f aca="false">B14*Resumen!$B$17*4</f>
        <v>18</v>
      </c>
      <c r="D14" s="31" t="n">
        <f aca="false">B14*Resumen!$B$19</f>
        <v>54</v>
      </c>
      <c r="E14" s="31" t="n">
        <f aca="false">F13</f>
        <v>17.4</v>
      </c>
      <c r="F14" s="32" t="n">
        <f aca="false">MIN(D14, E14*(1-Resumen!$B$18)+C14)</f>
        <v>33.66</v>
      </c>
      <c r="G14" s="35" t="n">
        <f aca="false">AVERAGE(E14,F14)*Resumen!$B$32*12</f>
        <v>9190800</v>
      </c>
      <c r="H14" s="35" t="n">
        <f aca="false">C14*Resumen!$B$31</f>
        <v>1800000</v>
      </c>
      <c r="I14" s="39" t="n">
        <f aca="false">G14+H14</f>
        <v>10990800</v>
      </c>
    </row>
    <row r="15" customFormat="false" ht="15" hidden="false" customHeight="false" outlineLevel="0" collapsed="false">
      <c r="A15" s="16" t="s">
        <v>147</v>
      </c>
      <c r="B15" s="30" t="n">
        <v>4</v>
      </c>
      <c r="C15" s="31" t="n">
        <f aca="false">B15*Resumen!$B$17*4</f>
        <v>24</v>
      </c>
      <c r="D15" s="31" t="n">
        <f aca="false">B15*Resumen!$B$19</f>
        <v>72</v>
      </c>
      <c r="E15" s="31" t="n">
        <f aca="false">F14</f>
        <v>33.66</v>
      </c>
      <c r="F15" s="32" t="n">
        <f aca="false">MIN(D15, E15*(1-Resumen!$B$18)+C15)</f>
        <v>54.294</v>
      </c>
      <c r="G15" s="35" t="n">
        <f aca="false">AVERAGE(E15,F15)*Resumen!$B$32*12</f>
        <v>15831720</v>
      </c>
      <c r="H15" s="35" t="n">
        <f aca="false">C15*Resumen!$B$31</f>
        <v>2400000</v>
      </c>
      <c r="I15" s="39" t="n">
        <f aca="false">G15+H15</f>
        <v>18231720</v>
      </c>
    </row>
    <row r="16" customFormat="false" ht="15" hidden="false" customHeight="false" outlineLevel="0" collapsed="false">
      <c r="A16" s="16" t="s">
        <v>148</v>
      </c>
      <c r="B16" s="30" t="n">
        <v>5</v>
      </c>
      <c r="C16" s="31" t="n">
        <f aca="false">B16*Resumen!$B$17*4</f>
        <v>30</v>
      </c>
      <c r="D16" s="31" t="n">
        <f aca="false">B16*Resumen!$B$19</f>
        <v>90</v>
      </c>
      <c r="E16" s="31" t="n">
        <f aca="false">F15</f>
        <v>54.294</v>
      </c>
      <c r="F16" s="32" t="n">
        <f aca="false">MIN(D16, E16*(1-Resumen!$B$18)+C16)</f>
        <v>78.8646</v>
      </c>
      <c r="G16" s="35" t="n">
        <f aca="false">AVERAGE(E16,F16)*Resumen!$B$32*12</f>
        <v>23968548</v>
      </c>
      <c r="H16" s="35" t="n">
        <f aca="false">C16*Resumen!$B$31</f>
        <v>3000000</v>
      </c>
      <c r="I16" s="39" t="n">
        <f aca="false">G16+H16</f>
        <v>26968548</v>
      </c>
    </row>
    <row r="17" customFormat="false" ht="15" hidden="false" customHeight="false" outlineLevel="0" collapsed="false">
      <c r="A17" s="16" t="s">
        <v>149</v>
      </c>
      <c r="B17" s="30" t="n">
        <v>6</v>
      </c>
      <c r="C17" s="31" t="n">
        <f aca="false">B17*Resumen!$B$17*4</f>
        <v>36</v>
      </c>
      <c r="D17" s="31" t="n">
        <f aca="false">B17*Resumen!$B$19</f>
        <v>108</v>
      </c>
      <c r="E17" s="31" t="n">
        <f aca="false">F16</f>
        <v>78.8646</v>
      </c>
      <c r="F17" s="32" t="n">
        <f aca="false">MIN(D17, E17*(1-Resumen!$B$18)+C17)</f>
        <v>106.97814</v>
      </c>
      <c r="G17" s="35" t="n">
        <f aca="false">AVERAGE(E17,F17)*Resumen!$B$32*12</f>
        <v>33451693.2</v>
      </c>
      <c r="H17" s="35" t="n">
        <f aca="false">C17*Resumen!$B$31</f>
        <v>3600000</v>
      </c>
      <c r="I17" s="39" t="n">
        <f aca="false">G17+H17</f>
        <v>37051693.2</v>
      </c>
    </row>
    <row r="19" customFormat="false" ht="54.75" hidden="false" customHeight="true" outlineLevel="0" collapsed="false">
      <c r="A19" s="36" t="s">
        <v>150</v>
      </c>
      <c r="B19" s="36"/>
      <c r="C19" s="36"/>
      <c r="D19" s="36"/>
      <c r="E19" s="36"/>
      <c r="F19" s="36"/>
      <c r="G19" s="36"/>
      <c r="H19" s="36"/>
      <c r="I19" s="36"/>
    </row>
  </sheetData>
  <mergeCells count="5">
    <mergeCell ref="A1:I1"/>
    <mergeCell ref="A2:I2"/>
    <mergeCell ref="A9:I9"/>
    <mergeCell ref="A10:I10"/>
    <mergeCell ref="A19:I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2026-08-14T23:35:07Z</dcterms:created>
  <dc:creator>openpyxl</dc:creator>
  <dc:description/>
  <dc:language>en-US</dc:language>
  <cp:lastModifiedBy/>
  <dcterms:modified xsi:type="dcterms:W3CDTF">2026-08-14T23:35:07Z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