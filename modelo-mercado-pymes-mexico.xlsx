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uentes" sheetId="1" state="visible" r:id="rId3"/>
    <sheet name="Via A" sheetId="2" state="visible" r:id="rId4"/>
    <sheet name="Via B" sheetId="3" state="visible" r:id="rId5"/>
    <sheet name="Resumen" sheetId="4" state="visible" r:id="rId6"/>
    <sheet name="Sensibilidad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<sst xmlns="http://schemas.openxmlformats.org/spreadsheetml/2006/main" count="168" uniqueCount="117">
  <si>
    <t xml:space="preserve">Fuentes y supuestos — modelo de mercado de PYMEs en México</t>
  </si>
  <si>
    <t xml:space="preserve">Cambia cualquier celda de la columna Valor marcada como SUPUESTO — todo el modelo se recalcula solo.</t>
  </si>
  <si>
    <t xml:space="preserve">Variable</t>
  </si>
  <si>
    <t xml:space="preserve">Valor</t>
  </si>
  <si>
    <t xml:space="preserve">Tipo</t>
  </si>
  <si>
    <t xml:space="preserve">Fuente</t>
  </si>
  <si>
    <t xml:space="preserve">Universo total de unidades económicas privadas y paraestatales en México</t>
  </si>
  <si>
    <t xml:space="preserve">DATO</t>
  </si>
  <si>
    <t xml:space="preserve">INEGI, Censos Económicos 2024 (resultados definitivos)</t>
  </si>
  <si>
    <t xml:space="preserve">% Microempresas (0–10 empleados)</t>
  </si>
  <si>
    <t xml:space="preserve">INEGI, Censos Económicos 2024</t>
  </si>
  <si>
    <t xml:space="preserve">% Pequeña empresa</t>
  </si>
  <si>
    <t xml:space="preserve">% Mediana empresa</t>
  </si>
  <si>
    <t xml:space="preserve">% Grande empresa</t>
  </si>
  <si>
    <t xml:space="preserve">% unidades económicas en Comercio</t>
  </si>
  <si>
    <t xml:space="preserve">INEGI, Censos Económicos 2019 (desglose sectorial público más reciente localizado)</t>
  </si>
  <si>
    <t xml:space="preserve">% unidades económicas en Servicios</t>
  </si>
  <si>
    <t xml:space="preserve">INEGI, Censos Económicos 2019</t>
  </si>
  <si>
    <t xml:space="preserve">% unidades económicas en Manufactura</t>
  </si>
  <si>
    <t xml:space="preserve">% Resto de actividades</t>
  </si>
  <si>
    <t xml:space="preserve">Restaurantes en México (unidades económicas)</t>
  </si>
  <si>
    <t xml:space="preserve">INEGI–CANIRAC, "Conociendo la Industria Restaurantera"</t>
  </si>
  <si>
    <t xml:space="preserve">% de restaurantes que son microempresas</t>
  </si>
  <si>
    <t xml:space="preserve">INEGI–CANIRAC</t>
  </si>
  <si>
    <t xml:space="preserve">% de restaurantes pequeña/mediana (derivado)</t>
  </si>
  <si>
    <t xml:space="preserve">DATO (derivado)</t>
  </si>
  <si>
    <t xml:space="preserve">Calculado como 1 − % microempresas (fila anterior)</t>
  </si>
  <si>
    <t xml:space="preserve">Servicios profesionales, científicos y técnicos — SCIAN 54, todas las ramas (unidades económicas)</t>
  </si>
  <si>
    <t xml:space="preserve">DENUE 2025</t>
  </si>
  <si>
    <t xml:space="preserve">Unidades SCIAN 54 en Estado de México</t>
  </si>
  <si>
    <t xml:space="preserve">Unidades SCIAN 54 en Ciudad de México</t>
  </si>
  <si>
    <t xml:space="preserve">Universo encuestado ENAPROCE 2018 (empresas)</t>
  </si>
  <si>
    <t xml:space="preserve">INEGI / Secretaría de Economía, ENAPROCE 2018</t>
  </si>
  <si>
    <t xml:space="preserve">% que usa contador o paquetería contable</t>
  </si>
  <si>
    <t xml:space="preserve">ENAPROCE 2018</t>
  </si>
  <si>
    <t xml:space="preserve">% que no lleva ninguna contabilidad</t>
  </si>
  <si>
    <t xml:space="preserve">% de PyMEs en México que usan tecnologías de la información</t>
  </si>
  <si>
    <t xml:space="preserve">El Financiero, citando estudio de adopción tecnológica en PyMEs</t>
  </si>
  <si>
    <t xml:space="preserve">% de mipymes con herramientas digitales que usan algún ERP</t>
  </si>
  <si>
    <t xml:space="preserve">Radiografía del Emprendimiento en México 2021</t>
  </si>
  <si>
    <t xml:space="preserve">SUPUESTOS EDITABLES — cambia estos valores para recalcular todo el modelo</t>
  </si>
  <si>
    <t xml:space="preserve">% del sector de servicios profesionales que califica por tamaño/facturación suficiente (Vía A)</t>
  </si>
  <si>
    <t xml:space="preserve">SUPUESTO</t>
  </si>
  <si>
    <t xml:space="preserve">Estimación editable — la estratificación censal por número de empleados subestima despachos boutique con pocos empleados pero facturación de pequeña empresa</t>
  </si>
  <si>
    <t xml:space="preserve">% que hoy opera de forma artesanal / sin sistema real (Vía A y Vía B)</t>
  </si>
  <si>
    <t xml:space="preserve">Estimación editable, informada por la baja adopción de TI/ERP citada arriba (filas 23–24) — no es un dato censal directo</t>
  </si>
  <si>
    <t xml:space="preserve">% direccionable en el corto plazo (Vía A y Vía B)</t>
  </si>
  <si>
    <t xml:space="preserve">Estimación editable — presencia digital mínima, zona geográfica prospectable, disposición a invertir en consultoría</t>
  </si>
  <si>
    <t xml:space="preserve">Leyenda: texto azul = dato/insumo fijo tomado de la fuente citada. Relleno amarillo + texto azul = SUPUESTO editable (cámbialo aquí; el resto del modelo usa esta misma celda). Texto negro = resultado calculado con fórmula.</t>
  </si>
  <si>
    <t xml:space="preserve">Datos adicionales — banda legal de ingresos anuales por tamaño de empresa</t>
  </si>
  <si>
    <t xml:space="preserve">Piso de ingresos anuales — Pequeña empresa (millones de pesos)</t>
  </si>
  <si>
    <t xml:space="preserve">Estratificación oficial MIPYME (Ley para el Desarrollo de la Competitividad de la MIPYME / Acuerdo DOF)</t>
  </si>
  <si>
    <t xml:space="preserve">Techo de Pequeña empresa / piso de Mediana empresa (millones de pesos)</t>
  </si>
  <si>
    <t xml:space="preserve">Techo de Mediana empresa (millones de pesos)</t>
  </si>
  <si>
    <t xml:space="preserve">Vía A — Servicios que cotizan proyecto por proyecto (diseño, consultoría, arquitectura, construcción)</t>
  </si>
  <si>
    <t xml:space="preserve">Todas las celdas de esta hoja son fórmulas que jalan de 'Fuentes' — para cambiar un supuesto, edítalo allá.</t>
  </si>
  <si>
    <t xml:space="preserve">Paso</t>
  </si>
  <si>
    <t xml:space="preserve">Descripción</t>
  </si>
  <si>
    <t xml:space="preserve">Notas</t>
  </si>
  <si>
    <t xml:space="preserve">Unidades económicas en SCIAN 54 (servicios profesionales, científicos y técnicos: legal, contable, arquitectura, ingeniería, diseño especializado, TI, consultoría, publicidad, etc.)</t>
  </si>
  <si>
    <t xml:space="preserve">Enlace a 'Fuentes' (dato oficial)</t>
  </si>
  <si>
    <t xml:space="preserve">% que tiene tamaño/facturación suficiente para justificar el servicio (no es una sola persona de subsistencia)</t>
  </si>
  <si>
    <t xml:space="preserve">Enlace a 'Fuentes'</t>
  </si>
  <si>
    <t xml:space="preserve">Subtotal tras filtro de tamaño/facturación</t>
  </si>
  <si>
    <t xml:space="preserve">% que hoy opera de forma artesanal / sin sistema real</t>
  </si>
  <si>
    <t xml:space="preserve">Enlace a 'Fuentes' (supuesto compartido con la otra vía)</t>
  </si>
  <si>
    <t xml:space="preserve">Subtotal tras filtro de necesidad (sin sistema real)</t>
  </si>
  <si>
    <t xml:space="preserve">% direccionable en el corto plazo</t>
  </si>
  <si>
    <t xml:space="preserve">MERCADO OBTENIBLE SERVIBLE (SOM) — VÍA A</t>
  </si>
  <si>
    <t xml:space="preserve">Vía B — Operación diaria multicanal (restaurantes como ancla del segmento; extensible a retail)</t>
  </si>
  <si>
    <t xml:space="preserve">% pequeña/mediana (excluye el 96% que son microempresas de subsistencia)</t>
  </si>
  <si>
    <t xml:space="preserve">MERCADO OBTENIBLE SERVIBLE (SOM) — VÍA B</t>
  </si>
  <si>
    <t xml:space="preserve">Resumen — mercado obtenible y capacidad real de atención</t>
  </si>
  <si>
    <t xml:space="preserve">Suma las dos vías y traduce el mercado obtenible en una meta operativa realista para un consultor independiente.</t>
  </si>
  <si>
    <t xml:space="preserve">Mercado obtenible servible (SOM) por vía</t>
  </si>
  <si>
    <t xml:space="preserve">SOM Vía A — servicios de proyecto</t>
  </si>
  <si>
    <t xml:space="preserve">SOM Vía B — operación diaria multicanal</t>
  </si>
  <si>
    <t xml:space="preserve">MERCADO OBTENIBLE SERVIBLE (SOM) TOTAL</t>
  </si>
  <si>
    <t xml:space="preserve">¿Qué fracción del mercado necesitas capturar?</t>
  </si>
  <si>
    <t xml:space="preserve">Clientes objetivo</t>
  </si>
  <si>
    <t xml:space="preserve">% del SOM total</t>
  </si>
  <si>
    <t xml:space="preserve">Capacidad real como consultor independiente</t>
  </si>
  <si>
    <t xml:space="preserve">Clientes nuevos instalados por trimestre (supuesto)</t>
  </si>
  <si>
    <t xml:space="preserve">Tasa de cancelación anual de cartera en monitoreo (supuesto)</t>
  </si>
  <si>
    <t xml:space="preserve">Techo de cartera en monitoreo simultáneo antes de necesitar contratar (supuesto)</t>
  </si>
  <si>
    <t xml:space="preserve">Año</t>
  </si>
  <si>
    <t xml:space="preserve">Nuevos clientes instalados</t>
  </si>
  <si>
    <t xml:space="preserve">Cartera al inicio del año</t>
  </si>
  <si>
    <t xml:space="preserve">Cartera en monitoreo al cierre</t>
  </si>
  <si>
    <t xml:space="preserve">Año 1</t>
  </si>
  <si>
    <t xml:space="preserve">Año 2</t>
  </si>
  <si>
    <t xml:space="preserve">Año 3</t>
  </si>
  <si>
    <t xml:space="preserve">Foco geográfico sugerido</t>
  </si>
  <si>
    <t xml:space="preserve">% de SCIAN 54 nacional concentrado en CDMX + Estado de México</t>
  </si>
  <si>
    <t xml:space="preserve">Prospectar primero en Ciudad de México y Estado de México reduce fricción logística: concentran cerca de una quinta parte de los servicios profesionales del país. No hay un dato equivalente citado aquí para la concentración geográfica de restaurantes (Vía B).</t>
  </si>
  <si>
    <t xml:space="preserve">¿Cuántos pueden pagar el ticket propuesto ($100,000 setup + $30,000/mes)?</t>
  </si>
  <si>
    <t xml:space="preserve">Setup propuesto (MXN)</t>
  </si>
  <si>
    <t xml:space="preserve">Mensualidad propuesta (MXN)</t>
  </si>
  <si>
    <t xml:space="preserve">Costo total año 1 (setup + 12 meses de mensualidad)</t>
  </si>
  <si>
    <t xml:space="preserve">Costo anual recurrente (año 2 en adelante)</t>
  </si>
  <si>
    <t xml:space="preserve">% de ingresos anuales que representa un gasto "cómodo" — no una carga desproporcionada (umbral, supuesto)</t>
  </si>
  <si>
    <t xml:space="preserve">Ingreso anual mínimo para que el costo del año 1 sea ≤ umbral</t>
  </si>
  <si>
    <t xml:space="preserve">Ingreso anual mínimo para sostener el costo recurrente ≤ umbral</t>
  </si>
  <si>
    <t xml:space="preserve">Referencia — banda legal de ingresos anuales: Pequeña empresa $4.01–100 millones de pesos/año; Mediana empresa $100.01–250 millones de pesos/año (ver hoja 'Fuentes'). El ingreso mínimo recurrente calculado arriba cae dentro del tramo bajo de 'Pequeña' — es decir, una parte real pero no total de las empresas ya filtradas como Pequeña/Mediana puede sostenerlo sin que sea una carga desproporcionada.</t>
  </si>
  <si>
    <t xml:space="preserve">% del mercado obtenible (SOM) que se estima tiene ingresos suficientes para pagar este ticket cómodamente (supuesto)</t>
  </si>
  <si>
    <t xml:space="preserve">MERCADO QUE PUEDE PAGAR EL TICKET PROPUESTO</t>
  </si>
  <si>
    <t xml:space="preserve">Nota: el 35% es la cifra menos sólida de todo el modelo — no encontré una distribución pública de ingresos DENTRO de la banda Pequeña/Mediana en México (esa banda va de $4M a $250M/año, un rango enorme). Es una estimación de sentido común, no un dato censal. El punto de referencia más confiable que existe es tu cliente actual: compara qué % de sus ingresos representa lo que le cobras hoy, y ajusta esta celda con ese punto de anclaje real.</t>
  </si>
  <si>
    <t xml:space="preserve">Sensibilidad — 3 escenarios</t>
  </si>
  <si>
    <t xml:space="preserve">La columna Base jala en vivo de 'Fuentes'; Conservador y Optimista son palancas de escenario independientes (edítalas aquí).</t>
  </si>
  <si>
    <t xml:space="preserve">Conservador</t>
  </si>
  <si>
    <t xml:space="preserve">Base</t>
  </si>
  <si>
    <t xml:space="preserve">Optimista</t>
  </si>
  <si>
    <t xml:space="preserve">% califica por tamaño/facturación (Vía A)</t>
  </si>
  <si>
    <t xml:space="preserve">% que opera de forma artesanal / sin sistema real</t>
  </si>
  <si>
    <t xml:space="preserve">SOM Vía A resultante</t>
  </si>
  <si>
    <t xml:space="preserve">SOM Vía B resultante</t>
  </si>
  <si>
    <t xml:space="preserve">SOM TOTAL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</si>
</sst>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%"/>
    <numFmt numFmtId="167" formatCode="#,##0.0"/>
    <numFmt numFmtId="168" formatCode="\$#,##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1F1F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9"/>
      <color rgb="FF444444"/>
      <name val="Arial"/>
      <family val="0"/>
      <charset val="1"/>
    </font>
    <font>
      <b val="true"/>
      <sz val="11"/>
      <color rgb="FF7A5B00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color rgb="FF1F1F1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7A5B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2E4053"/>
        <bgColor rgb="FF444444"/>
      </patternFill>
    </fill>
    <fill>
      <patternFill patternType="solid">
        <fgColor rgb="FFEAEAEA"/>
        <bgColor rgb="FFFFFFFF"/>
      </patternFill>
    </fill>
    <fill>
      <patternFill patternType="solid">
        <fgColor rgb="FFFFF2AA"/>
        <bgColor rgb="FFEAEAE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A5B00"/>
      <rgbColor rgb="FF800080"/>
      <rgbColor rgb="FF008080"/>
      <rgbColor rgb="FFBFBFBF"/>
      <rgbColor rgb="FF555555"/>
      <rgbColor rgb="FF9999FF"/>
      <rgbColor rgb="FF993366"/>
      <rgbColor rgb="FFEAEAEA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A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F1F1F"/>
      <rgbColor rgb="FF993300"/>
      <rgbColor rgb="FF993366"/>
      <rgbColor rgb="FF444444"/>
      <rgbColor rgb="FF2E405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62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2" customFormat="false" ht="15" hidden="false" customHeight="false" outlineLevel="0" collapsed="false">
      <c r="A2" s="2" t="s">
        <v>1</v>
      </c>
      <c r="B2" s="2"/>
      <c r="C2" s="2"/>
      <c r="D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30" hidden="false" customHeight="true" outlineLevel="0" collapsed="false">
      <c r="A5" s="4" t="s">
        <v>6</v>
      </c>
      <c r="B5" s="5" t="n">
        <v>5451113</v>
      </c>
      <c r="C5" s="6" t="s">
        <v>7</v>
      </c>
      <c r="D5" s="7" t="s">
        <v>8</v>
      </c>
    </row>
    <row r="6" customFormat="false" ht="30" hidden="false" customHeight="true" outlineLevel="0" collapsed="false">
      <c r="A6" s="4" t="s">
        <v>9</v>
      </c>
      <c r="B6" s="8" t="n">
        <v>0.954</v>
      </c>
      <c r="C6" s="6" t="s">
        <v>7</v>
      </c>
      <c r="D6" s="7" t="s">
        <v>10</v>
      </c>
    </row>
    <row r="7" customFormat="false" ht="30" hidden="false" customHeight="true" outlineLevel="0" collapsed="false">
      <c r="A7" s="4" t="s">
        <v>11</v>
      </c>
      <c r="B7" s="8" t="n">
        <v>0.037</v>
      </c>
      <c r="C7" s="6" t="s">
        <v>7</v>
      </c>
      <c r="D7" s="7" t="s">
        <v>10</v>
      </c>
    </row>
    <row r="8" customFormat="false" ht="30" hidden="false" customHeight="true" outlineLevel="0" collapsed="false">
      <c r="A8" s="4" t="s">
        <v>12</v>
      </c>
      <c r="B8" s="8" t="n">
        <v>0.007</v>
      </c>
      <c r="C8" s="6" t="s">
        <v>7</v>
      </c>
      <c r="D8" s="7" t="s">
        <v>10</v>
      </c>
    </row>
    <row r="9" customFormat="false" ht="30" hidden="false" customHeight="true" outlineLevel="0" collapsed="false">
      <c r="A9" s="4" t="s">
        <v>13</v>
      </c>
      <c r="B9" s="8" t="n">
        <v>0.002</v>
      </c>
      <c r="C9" s="6" t="s">
        <v>7</v>
      </c>
      <c r="D9" s="7" t="s">
        <v>10</v>
      </c>
    </row>
    <row r="10" customFormat="false" ht="30" hidden="false" customHeight="true" outlineLevel="0" collapsed="false">
      <c r="A10" s="4" t="s">
        <v>14</v>
      </c>
      <c r="B10" s="8" t="n">
        <v>0.467</v>
      </c>
      <c r="C10" s="6" t="s">
        <v>7</v>
      </c>
      <c r="D10" s="7" t="s">
        <v>15</v>
      </c>
    </row>
    <row r="11" customFormat="false" ht="30" hidden="false" customHeight="true" outlineLevel="0" collapsed="false">
      <c r="A11" s="4" t="s">
        <v>16</v>
      </c>
      <c r="B11" s="8" t="n">
        <v>0.391</v>
      </c>
      <c r="C11" s="6" t="s">
        <v>7</v>
      </c>
      <c r="D11" s="7" t="s">
        <v>17</v>
      </c>
    </row>
    <row r="12" customFormat="false" ht="30" hidden="false" customHeight="true" outlineLevel="0" collapsed="false">
      <c r="A12" s="4" t="s">
        <v>18</v>
      </c>
      <c r="B12" s="8" t="n">
        <v>0.122</v>
      </c>
      <c r="C12" s="6" t="s">
        <v>7</v>
      </c>
      <c r="D12" s="7" t="s">
        <v>17</v>
      </c>
    </row>
    <row r="13" customFormat="false" ht="30" hidden="false" customHeight="true" outlineLevel="0" collapsed="false">
      <c r="A13" s="4" t="s">
        <v>19</v>
      </c>
      <c r="B13" s="8" t="n">
        <v>0.02</v>
      </c>
      <c r="C13" s="6" t="s">
        <v>7</v>
      </c>
      <c r="D13" s="7" t="s">
        <v>17</v>
      </c>
    </row>
    <row r="14" customFormat="false" ht="30" hidden="false" customHeight="true" outlineLevel="0" collapsed="false">
      <c r="A14" s="4" t="s">
        <v>20</v>
      </c>
      <c r="B14" s="5" t="n">
        <v>641000</v>
      </c>
      <c r="C14" s="6" t="s">
        <v>7</v>
      </c>
      <c r="D14" s="7" t="s">
        <v>21</v>
      </c>
    </row>
    <row r="15" customFormat="false" ht="30" hidden="false" customHeight="true" outlineLevel="0" collapsed="false">
      <c r="A15" s="4" t="s">
        <v>22</v>
      </c>
      <c r="B15" s="8" t="n">
        <v>0.96</v>
      </c>
      <c r="C15" s="6" t="s">
        <v>7</v>
      </c>
      <c r="D15" s="7" t="s">
        <v>23</v>
      </c>
    </row>
    <row r="16" customFormat="false" ht="30" hidden="false" customHeight="true" outlineLevel="0" collapsed="false">
      <c r="A16" s="4" t="s">
        <v>24</v>
      </c>
      <c r="B16" s="9" t="n">
        <f aca="false">1-B15</f>
        <v>0.04</v>
      </c>
      <c r="C16" s="6" t="s">
        <v>25</v>
      </c>
      <c r="D16" s="7" t="s">
        <v>26</v>
      </c>
    </row>
    <row r="17" customFormat="false" ht="30" hidden="false" customHeight="true" outlineLevel="0" collapsed="false">
      <c r="A17" s="4" t="s">
        <v>27</v>
      </c>
      <c r="B17" s="5" t="n">
        <v>109630</v>
      </c>
      <c r="C17" s="6" t="s">
        <v>7</v>
      </c>
      <c r="D17" s="7" t="s">
        <v>28</v>
      </c>
    </row>
    <row r="18" customFormat="false" ht="30" hidden="false" customHeight="true" outlineLevel="0" collapsed="false">
      <c r="A18" s="4" t="s">
        <v>29</v>
      </c>
      <c r="B18" s="5" t="n">
        <v>11373</v>
      </c>
      <c r="C18" s="6" t="s">
        <v>7</v>
      </c>
      <c r="D18" s="7" t="s">
        <v>28</v>
      </c>
    </row>
    <row r="19" customFormat="false" ht="30" hidden="false" customHeight="true" outlineLevel="0" collapsed="false">
      <c r="A19" s="4" t="s">
        <v>30</v>
      </c>
      <c r="B19" s="5" t="n">
        <v>11058</v>
      </c>
      <c r="C19" s="6" t="s">
        <v>7</v>
      </c>
      <c r="D19" s="7" t="s">
        <v>28</v>
      </c>
    </row>
    <row r="20" customFormat="false" ht="30" hidden="false" customHeight="true" outlineLevel="0" collapsed="false">
      <c r="A20" s="4" t="s">
        <v>31</v>
      </c>
      <c r="B20" s="5" t="n">
        <v>4182049</v>
      </c>
      <c r="C20" s="6" t="s">
        <v>7</v>
      </c>
      <c r="D20" s="7" t="s">
        <v>32</v>
      </c>
    </row>
    <row r="21" customFormat="false" ht="30" hidden="false" customHeight="true" outlineLevel="0" collapsed="false">
      <c r="A21" s="4" t="s">
        <v>33</v>
      </c>
      <c r="B21" s="8" t="n">
        <v>0.577</v>
      </c>
      <c r="C21" s="6" t="s">
        <v>7</v>
      </c>
      <c r="D21" s="7" t="s">
        <v>34</v>
      </c>
    </row>
    <row r="22" customFormat="false" ht="30" hidden="false" customHeight="true" outlineLevel="0" collapsed="false">
      <c r="A22" s="4" t="s">
        <v>35</v>
      </c>
      <c r="B22" s="8" t="n">
        <v>0.181</v>
      </c>
      <c r="C22" s="6" t="s">
        <v>7</v>
      </c>
      <c r="D22" s="7" t="s">
        <v>34</v>
      </c>
    </row>
    <row r="23" customFormat="false" ht="30" hidden="false" customHeight="true" outlineLevel="0" collapsed="false">
      <c r="A23" s="4" t="s">
        <v>36</v>
      </c>
      <c r="B23" s="8" t="n">
        <v>0.059</v>
      </c>
      <c r="C23" s="6" t="s">
        <v>7</v>
      </c>
      <c r="D23" s="7" t="s">
        <v>37</v>
      </c>
    </row>
    <row r="24" customFormat="false" ht="30" hidden="false" customHeight="true" outlineLevel="0" collapsed="false">
      <c r="A24" s="4" t="s">
        <v>38</v>
      </c>
      <c r="B24" s="8" t="n">
        <v>0.14</v>
      </c>
      <c r="C24" s="6" t="s">
        <v>7</v>
      </c>
      <c r="D24" s="7" t="s">
        <v>39</v>
      </c>
    </row>
    <row r="26" customFormat="false" ht="15" hidden="false" customHeight="false" outlineLevel="0" collapsed="false">
      <c r="A26" s="10" t="s">
        <v>40</v>
      </c>
      <c r="B26" s="10"/>
      <c r="C26" s="10"/>
      <c r="D26" s="10"/>
    </row>
    <row r="27" customFormat="false" ht="42" hidden="false" customHeight="true" outlineLevel="0" collapsed="false">
      <c r="A27" s="4" t="s">
        <v>41</v>
      </c>
      <c r="B27" s="11" t="n">
        <v>0.25</v>
      </c>
      <c r="C27" s="12" t="s">
        <v>42</v>
      </c>
      <c r="D27" s="7" t="s">
        <v>43</v>
      </c>
    </row>
    <row r="28" customFormat="false" ht="42" hidden="false" customHeight="true" outlineLevel="0" collapsed="false">
      <c r="A28" s="4" t="s">
        <v>44</v>
      </c>
      <c r="B28" s="11" t="n">
        <v>0.85</v>
      </c>
      <c r="C28" s="12" t="s">
        <v>42</v>
      </c>
      <c r="D28" s="7" t="s">
        <v>45</v>
      </c>
    </row>
    <row r="29" customFormat="false" ht="42" hidden="false" customHeight="true" outlineLevel="0" collapsed="false">
      <c r="A29" s="4" t="s">
        <v>46</v>
      </c>
      <c r="B29" s="11" t="n">
        <v>0.2</v>
      </c>
      <c r="C29" s="12" t="s">
        <v>42</v>
      </c>
      <c r="D29" s="7" t="s">
        <v>47</v>
      </c>
    </row>
    <row r="31" customFormat="false" ht="30" hidden="false" customHeight="true" outlineLevel="0" collapsed="false">
      <c r="A31" s="13" t="s">
        <v>48</v>
      </c>
      <c r="B31" s="13"/>
      <c r="C31" s="13"/>
      <c r="D31" s="13"/>
    </row>
    <row r="33" customFormat="false" ht="15" hidden="false" customHeight="false" outlineLevel="0" collapsed="false">
      <c r="A33" s="14" t="s">
        <v>49</v>
      </c>
      <c r="B33" s="14"/>
      <c r="C33" s="14"/>
      <c r="D33" s="14"/>
    </row>
    <row r="34" customFormat="false" ht="22.35" hidden="false" customHeight="false" outlineLevel="0" collapsed="false">
      <c r="A34" s="4" t="s">
        <v>50</v>
      </c>
      <c r="B34" s="15" t="n">
        <v>4.01</v>
      </c>
      <c r="C34" s="6" t="s">
        <v>7</v>
      </c>
      <c r="D34" s="7" t="s">
        <v>51</v>
      </c>
    </row>
    <row r="35" customFormat="false" ht="22.35" hidden="false" customHeight="false" outlineLevel="0" collapsed="false">
      <c r="A35" s="4" t="s">
        <v>52</v>
      </c>
      <c r="B35" s="15" t="n">
        <v>100</v>
      </c>
      <c r="C35" s="6" t="s">
        <v>7</v>
      </c>
      <c r="D35" s="7" t="s">
        <v>51</v>
      </c>
    </row>
    <row r="36" customFormat="false" ht="22.35" hidden="false" customHeight="false" outlineLevel="0" collapsed="false">
      <c r="A36" s="4" t="s">
        <v>53</v>
      </c>
      <c r="B36" s="15" t="n">
        <v>250</v>
      </c>
      <c r="C36" s="6" t="s">
        <v>7</v>
      </c>
      <c r="D36" s="7" t="s">
        <v>51</v>
      </c>
    </row>
  </sheetData>
  <mergeCells count="5">
    <mergeCell ref="A1:D1"/>
    <mergeCell ref="A2:D2"/>
    <mergeCell ref="A26:D26"/>
    <mergeCell ref="A31:D31"/>
    <mergeCell ref="A33:D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2"/>
    <col collapsed="false" customWidth="true" hidden="false" outlineLevel="0" max="3" min="3" style="0" width="20"/>
    <col collapsed="false" customWidth="true" hidden="false" outlineLevel="0" max="4" min="4" style="0" width="46"/>
  </cols>
  <sheetData>
    <row r="1" customFormat="false" ht="17.35" hidden="false" customHeight="false" outlineLevel="0" collapsed="false">
      <c r="A1" s="1" t="s">
        <v>54</v>
      </c>
      <c r="B1" s="1"/>
      <c r="C1" s="1"/>
      <c r="D1" s="1"/>
    </row>
    <row r="2" customFormat="false" ht="15" hidden="false" customHeight="false" outlineLevel="0" collapsed="false">
      <c r="A2" s="2" t="s">
        <v>55</v>
      </c>
      <c r="B2" s="2"/>
      <c r="C2" s="2"/>
      <c r="D2" s="2"/>
    </row>
    <row r="4" customFormat="false" ht="15" hidden="false" customHeight="false" outlineLevel="0" collapsed="false">
      <c r="A4" s="3" t="s">
        <v>56</v>
      </c>
      <c r="B4" s="3" t="s">
        <v>57</v>
      </c>
      <c r="C4" s="3" t="s">
        <v>3</v>
      </c>
      <c r="D4" s="3" t="s">
        <v>58</v>
      </c>
    </row>
    <row r="5" customFormat="false" ht="15" hidden="false" customHeight="false" outlineLevel="0" collapsed="false">
      <c r="A5" s="16" t="n">
        <v>1</v>
      </c>
      <c r="B5" s="6" t="s">
        <v>59</v>
      </c>
      <c r="C5" s="17" t="n">
        <f aca="false">Fuentes!$B$17</f>
        <v>109630</v>
      </c>
      <c r="D5" s="18" t="s">
        <v>60</v>
      </c>
    </row>
    <row r="6" customFormat="false" ht="15" hidden="false" customHeight="false" outlineLevel="0" collapsed="false">
      <c r="A6" s="16" t="n">
        <v>2</v>
      </c>
      <c r="B6" s="6" t="s">
        <v>61</v>
      </c>
      <c r="C6" s="19" t="n">
        <f aca="false">Fuentes!$B$27</f>
        <v>0.25</v>
      </c>
      <c r="D6" s="18" t="s">
        <v>62</v>
      </c>
    </row>
    <row r="7" customFormat="false" ht="15" hidden="false" customHeight="false" outlineLevel="0" collapsed="false">
      <c r="A7" s="20"/>
      <c r="B7" s="21" t="s">
        <v>63</v>
      </c>
      <c r="C7" s="22" t="n">
        <f aca="false">C5*C6</f>
        <v>27407.5</v>
      </c>
      <c r="D7" s="20"/>
    </row>
    <row r="8" customFormat="false" ht="15" hidden="false" customHeight="false" outlineLevel="0" collapsed="false">
      <c r="A8" s="16" t="n">
        <v>3</v>
      </c>
      <c r="B8" s="6" t="s">
        <v>64</v>
      </c>
      <c r="C8" s="19" t="n">
        <f aca="false">Fuentes!$B$28</f>
        <v>0.85</v>
      </c>
      <c r="D8" s="18" t="s">
        <v>65</v>
      </c>
    </row>
    <row r="9" customFormat="false" ht="15" hidden="false" customHeight="false" outlineLevel="0" collapsed="false">
      <c r="A9" s="20"/>
      <c r="B9" s="21" t="s">
        <v>66</v>
      </c>
      <c r="C9" s="22" t="n">
        <f aca="false">C7*C8</f>
        <v>23296.375</v>
      </c>
      <c r="D9" s="20"/>
    </row>
    <row r="10" customFormat="false" ht="15" hidden="false" customHeight="false" outlineLevel="0" collapsed="false">
      <c r="A10" s="16" t="n">
        <v>4</v>
      </c>
      <c r="B10" s="6" t="s">
        <v>67</v>
      </c>
      <c r="C10" s="19" t="n">
        <f aca="false">Fuentes!$B$29</f>
        <v>0.2</v>
      </c>
      <c r="D10" s="18" t="s">
        <v>65</v>
      </c>
    </row>
    <row r="11" customFormat="false" ht="15" hidden="false" customHeight="false" outlineLevel="0" collapsed="false">
      <c r="A11" s="23"/>
      <c r="B11" s="24" t="s">
        <v>68</v>
      </c>
      <c r="C11" s="25" t="n">
        <f aca="false">C9*C10</f>
        <v>4659.275</v>
      </c>
      <c r="D11" s="23"/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2"/>
    <col collapsed="false" customWidth="true" hidden="false" outlineLevel="0" max="3" min="3" style="0" width="20"/>
    <col collapsed="false" customWidth="true" hidden="false" outlineLevel="0" max="4" min="4" style="0" width="46"/>
  </cols>
  <sheetData>
    <row r="1" customFormat="false" ht="17.35" hidden="false" customHeight="false" outlineLevel="0" collapsed="false">
      <c r="A1" s="1" t="s">
        <v>69</v>
      </c>
      <c r="B1" s="1"/>
      <c r="C1" s="1"/>
      <c r="D1" s="1"/>
    </row>
    <row r="2" customFormat="false" ht="15" hidden="false" customHeight="false" outlineLevel="0" collapsed="false">
      <c r="A2" s="2" t="s">
        <v>55</v>
      </c>
      <c r="B2" s="2"/>
      <c r="C2" s="2"/>
      <c r="D2" s="2"/>
    </row>
    <row r="4" customFormat="false" ht="15" hidden="false" customHeight="false" outlineLevel="0" collapsed="false">
      <c r="A4" s="3" t="s">
        <v>56</v>
      </c>
      <c r="B4" s="3" t="s">
        <v>57</v>
      </c>
      <c r="C4" s="3" t="s">
        <v>3</v>
      </c>
      <c r="D4" s="3" t="s">
        <v>58</v>
      </c>
    </row>
    <row r="5" customFormat="false" ht="15" hidden="false" customHeight="false" outlineLevel="0" collapsed="false">
      <c r="A5" s="16" t="n">
        <v>1</v>
      </c>
      <c r="B5" s="6" t="s">
        <v>20</v>
      </c>
      <c r="C5" s="17" t="n">
        <f aca="false">Fuentes!$B$14</f>
        <v>641000</v>
      </c>
      <c r="D5" s="18" t="s">
        <v>60</v>
      </c>
    </row>
    <row r="6" customFormat="false" ht="15" hidden="false" customHeight="false" outlineLevel="0" collapsed="false">
      <c r="A6" s="16" t="n">
        <v>2</v>
      </c>
      <c r="B6" s="6" t="s">
        <v>70</v>
      </c>
      <c r="C6" s="19" t="n">
        <f aca="false">Fuentes!$B$16</f>
        <v>0.04</v>
      </c>
      <c r="D6" s="18" t="s">
        <v>62</v>
      </c>
    </row>
    <row r="7" customFormat="false" ht="15" hidden="false" customHeight="false" outlineLevel="0" collapsed="false">
      <c r="A7" s="20"/>
      <c r="B7" s="21" t="s">
        <v>63</v>
      </c>
      <c r="C7" s="22" t="n">
        <f aca="false">C5*C6</f>
        <v>25640</v>
      </c>
      <c r="D7" s="20"/>
    </row>
    <row r="8" customFormat="false" ht="15" hidden="false" customHeight="false" outlineLevel="0" collapsed="false">
      <c r="A8" s="16" t="n">
        <v>3</v>
      </c>
      <c r="B8" s="6" t="s">
        <v>64</v>
      </c>
      <c r="C8" s="19" t="n">
        <f aca="false">Fuentes!$B$28</f>
        <v>0.85</v>
      </c>
      <c r="D8" s="18" t="s">
        <v>65</v>
      </c>
    </row>
    <row r="9" customFormat="false" ht="15" hidden="false" customHeight="false" outlineLevel="0" collapsed="false">
      <c r="A9" s="20"/>
      <c r="B9" s="21" t="s">
        <v>66</v>
      </c>
      <c r="C9" s="22" t="n">
        <f aca="false">C7*C8</f>
        <v>21794</v>
      </c>
      <c r="D9" s="20"/>
    </row>
    <row r="10" customFormat="false" ht="15" hidden="false" customHeight="false" outlineLevel="0" collapsed="false">
      <c r="A10" s="16" t="n">
        <v>4</v>
      </c>
      <c r="B10" s="6" t="s">
        <v>67</v>
      </c>
      <c r="C10" s="19" t="n">
        <f aca="false">Fuentes!$B$29</f>
        <v>0.2</v>
      </c>
      <c r="D10" s="18" t="s">
        <v>65</v>
      </c>
    </row>
    <row r="11" customFormat="false" ht="15" hidden="false" customHeight="false" outlineLevel="0" collapsed="false">
      <c r="A11" s="23"/>
      <c r="B11" s="24" t="s">
        <v>71</v>
      </c>
      <c r="C11" s="25" t="n">
        <f aca="false">C9*C10</f>
        <v>4358.8</v>
      </c>
      <c r="D11" s="23"/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6"/>
    <col collapsed="false" customWidth="true" hidden="false" outlineLevel="0" max="5" min="5" style="0" width="46"/>
  </cols>
  <sheetData>
    <row r="1" customFormat="false" ht="17.35" hidden="false" customHeight="false" outlineLevel="0" collapsed="false">
      <c r="A1" s="1" t="s">
        <v>72</v>
      </c>
      <c r="B1" s="1"/>
      <c r="C1" s="1"/>
      <c r="D1" s="1"/>
      <c r="E1" s="1"/>
    </row>
    <row r="2" customFormat="false" ht="15" hidden="false" customHeight="false" outlineLevel="0" collapsed="false">
      <c r="A2" s="2" t="s">
        <v>73</v>
      </c>
      <c r="B2" s="2"/>
      <c r="C2" s="2"/>
      <c r="D2" s="2"/>
      <c r="E2" s="2"/>
    </row>
    <row r="4" customFormat="false" ht="15" hidden="false" customHeight="false" outlineLevel="0" collapsed="false">
      <c r="A4" s="26" t="s">
        <v>74</v>
      </c>
      <c r="B4" s="26"/>
    </row>
    <row r="5" customFormat="false" ht="15" hidden="false" customHeight="false" outlineLevel="0" collapsed="false">
      <c r="A5" s="27" t="s">
        <v>75</v>
      </c>
      <c r="B5" s="28" t="n">
        <f aca="false">'Via A'!C11</f>
        <v>4659.275</v>
      </c>
    </row>
    <row r="6" customFormat="false" ht="15" hidden="false" customHeight="false" outlineLevel="0" collapsed="false">
      <c r="A6" s="27" t="s">
        <v>76</v>
      </c>
      <c r="B6" s="28" t="n">
        <f aca="false">'Via B'!C11</f>
        <v>4358.8</v>
      </c>
    </row>
    <row r="7" customFormat="false" ht="15" hidden="false" customHeight="false" outlineLevel="0" collapsed="false">
      <c r="A7" s="24" t="s">
        <v>77</v>
      </c>
      <c r="B7" s="25" t="n">
        <f aca="false">B5+B6</f>
        <v>9018.075</v>
      </c>
    </row>
    <row r="9" customFormat="false" ht="15" hidden="false" customHeight="false" outlineLevel="0" collapsed="false">
      <c r="A9" s="26" t="s">
        <v>78</v>
      </c>
      <c r="B9" s="26"/>
    </row>
    <row r="10" customFormat="false" ht="15" hidden="false" customHeight="false" outlineLevel="0" collapsed="false">
      <c r="A10" s="3" t="s">
        <v>79</v>
      </c>
      <c r="B10" s="3" t="s">
        <v>80</v>
      </c>
    </row>
    <row r="11" customFormat="false" ht="15" hidden="false" customHeight="false" outlineLevel="0" collapsed="false">
      <c r="A11" s="5" t="n">
        <v>10</v>
      </c>
      <c r="B11" s="9" t="n">
        <f aca="false">A11/$B$7</f>
        <v>0.00110888410220585</v>
      </c>
    </row>
    <row r="12" customFormat="false" ht="15" hidden="false" customHeight="false" outlineLevel="0" collapsed="false">
      <c r="A12" s="5" t="n">
        <v>25</v>
      </c>
      <c r="B12" s="9" t="n">
        <f aca="false">A12/$B$7</f>
        <v>0.00277221025551462</v>
      </c>
    </row>
    <row r="13" customFormat="false" ht="15" hidden="false" customHeight="false" outlineLevel="0" collapsed="false">
      <c r="A13" s="5" t="n">
        <v>50</v>
      </c>
      <c r="B13" s="9" t="n">
        <f aca="false">A13/$B$7</f>
        <v>0.00554442051102924</v>
      </c>
    </row>
    <row r="14" customFormat="false" ht="15" hidden="false" customHeight="false" outlineLevel="0" collapsed="false">
      <c r="A14" s="5" t="n">
        <v>100</v>
      </c>
      <c r="B14" s="9" t="n">
        <f aca="false">A14/$B$7</f>
        <v>0.0110888410220585</v>
      </c>
    </row>
    <row r="16" customFormat="false" ht="15" hidden="false" customHeight="false" outlineLevel="0" collapsed="false">
      <c r="A16" s="26" t="s">
        <v>81</v>
      </c>
      <c r="B16" s="26"/>
    </row>
    <row r="17" customFormat="false" ht="15" hidden="false" customHeight="false" outlineLevel="0" collapsed="false">
      <c r="A17" s="6" t="s">
        <v>82</v>
      </c>
      <c r="B17" s="29" t="n">
        <v>1.5</v>
      </c>
    </row>
    <row r="18" customFormat="false" ht="15" hidden="false" customHeight="false" outlineLevel="0" collapsed="false">
      <c r="A18" s="6" t="s">
        <v>83</v>
      </c>
      <c r="B18" s="11" t="n">
        <v>0.1</v>
      </c>
    </row>
    <row r="19" customFormat="false" ht="15" hidden="false" customHeight="false" outlineLevel="0" collapsed="false">
      <c r="A19" s="6" t="s">
        <v>84</v>
      </c>
      <c r="B19" s="30" t="n">
        <v>18</v>
      </c>
    </row>
    <row r="21" customFormat="false" ht="23.85" hidden="false" customHeight="false" outlineLevel="0" collapsed="false">
      <c r="A21" s="3" t="s">
        <v>85</v>
      </c>
      <c r="B21" s="3" t="s">
        <v>86</v>
      </c>
      <c r="C21" s="3" t="s">
        <v>87</v>
      </c>
      <c r="D21" s="3" t="s">
        <v>88</v>
      </c>
    </row>
    <row r="22" customFormat="false" ht="15" hidden="false" customHeight="false" outlineLevel="0" collapsed="false">
      <c r="A22" s="16" t="s">
        <v>89</v>
      </c>
      <c r="B22" s="31" t="n">
        <f aca="false">$B$17*4</f>
        <v>6</v>
      </c>
      <c r="C22" s="31" t="n">
        <v>0</v>
      </c>
      <c r="D22" s="32" t="n">
        <f aca="false">MIN($B$19, C22*(1-$B$18)+B22)</f>
        <v>6</v>
      </c>
    </row>
    <row r="23" customFormat="false" ht="15" hidden="false" customHeight="false" outlineLevel="0" collapsed="false">
      <c r="A23" s="16" t="s">
        <v>90</v>
      </c>
      <c r="B23" s="31" t="n">
        <f aca="false">$B$17*4</f>
        <v>6</v>
      </c>
      <c r="C23" s="31" t="n">
        <f aca="false">D22</f>
        <v>6</v>
      </c>
      <c r="D23" s="32" t="n">
        <f aca="false">MIN($B$19, C23*(1-$B$18)+B23)</f>
        <v>11.4</v>
      </c>
    </row>
    <row r="24" customFormat="false" ht="15" hidden="false" customHeight="false" outlineLevel="0" collapsed="false">
      <c r="A24" s="16" t="s">
        <v>91</v>
      </c>
      <c r="B24" s="31" t="n">
        <f aca="false">$B$17*4</f>
        <v>6</v>
      </c>
      <c r="C24" s="31" t="n">
        <f aca="false">D23</f>
        <v>11.4</v>
      </c>
      <c r="D24" s="32" t="n">
        <f aca="false">MIN($B$19, C24*(1-$B$18)+B24)</f>
        <v>16.26</v>
      </c>
    </row>
    <row r="26" customFormat="false" ht="15" hidden="false" customHeight="false" outlineLevel="0" collapsed="false">
      <c r="A26" s="26" t="s">
        <v>92</v>
      </c>
      <c r="B26" s="26"/>
    </row>
    <row r="27" customFormat="false" ht="15" hidden="false" customHeight="false" outlineLevel="0" collapsed="false">
      <c r="A27" s="6" t="s">
        <v>93</v>
      </c>
      <c r="B27" s="19" t="n">
        <f aca="false">(Fuentes!$B$18+Fuentes!$B$19)/Fuentes!$B$17</f>
        <v>0.204606403356745</v>
      </c>
    </row>
    <row r="28" customFormat="false" ht="30" hidden="false" customHeight="true" outlineLevel="0" collapsed="false">
      <c r="A28" s="13" t="s">
        <v>94</v>
      </c>
      <c r="B28" s="13"/>
      <c r="C28" s="13"/>
      <c r="D28" s="13"/>
      <c r="E28" s="13"/>
    </row>
    <row r="30" customFormat="false" ht="15" hidden="false" customHeight="false" outlineLevel="0" collapsed="false">
      <c r="A30" s="26" t="s">
        <v>95</v>
      </c>
      <c r="B30" s="26"/>
    </row>
    <row r="31" customFormat="false" ht="15" hidden="false" customHeight="false" outlineLevel="0" collapsed="false">
      <c r="A31" s="6" t="s">
        <v>96</v>
      </c>
      <c r="B31" s="33" t="n">
        <v>100000</v>
      </c>
    </row>
    <row r="32" customFormat="false" ht="15" hidden="false" customHeight="false" outlineLevel="0" collapsed="false">
      <c r="A32" s="6" t="s">
        <v>97</v>
      </c>
      <c r="B32" s="33" t="n">
        <v>30000</v>
      </c>
    </row>
    <row r="33" customFormat="false" ht="15" hidden="false" customHeight="false" outlineLevel="0" collapsed="false">
      <c r="A33" s="6" t="s">
        <v>98</v>
      </c>
      <c r="B33" s="34" t="n">
        <f aca="false">B31+B32*12</f>
        <v>460000</v>
      </c>
    </row>
    <row r="34" customFormat="false" ht="15" hidden="false" customHeight="false" outlineLevel="0" collapsed="false">
      <c r="A34" s="6" t="s">
        <v>99</v>
      </c>
      <c r="B34" s="34" t="n">
        <f aca="false">B32*12</f>
        <v>360000</v>
      </c>
    </row>
    <row r="36" customFormat="false" ht="30" hidden="false" customHeight="true" outlineLevel="0" collapsed="false">
      <c r="A36" s="4" t="s">
        <v>100</v>
      </c>
      <c r="B36" s="11" t="n">
        <v>0.08</v>
      </c>
    </row>
    <row r="37" customFormat="false" ht="15" hidden="false" customHeight="false" outlineLevel="0" collapsed="false">
      <c r="A37" s="6" t="s">
        <v>101</v>
      </c>
      <c r="B37" s="35" t="n">
        <f aca="false">B33/B36</f>
        <v>5750000</v>
      </c>
    </row>
    <row r="38" customFormat="false" ht="15" hidden="false" customHeight="false" outlineLevel="0" collapsed="false">
      <c r="A38" s="6" t="s">
        <v>102</v>
      </c>
      <c r="B38" s="35" t="n">
        <f aca="false">B34/B36</f>
        <v>4500000</v>
      </c>
    </row>
    <row r="39" customFormat="false" ht="42" hidden="false" customHeight="true" outlineLevel="0" collapsed="false">
      <c r="A39" s="13" t="s">
        <v>103</v>
      </c>
      <c r="B39" s="13"/>
      <c r="C39" s="13"/>
      <c r="D39" s="13"/>
      <c r="E39" s="13"/>
    </row>
    <row r="41" customFormat="false" ht="30" hidden="false" customHeight="true" outlineLevel="0" collapsed="false">
      <c r="A41" s="4" t="s">
        <v>104</v>
      </c>
      <c r="B41" s="11" t="n">
        <v>0.35</v>
      </c>
    </row>
    <row r="42" customFormat="false" ht="15" hidden="false" customHeight="false" outlineLevel="0" collapsed="false">
      <c r="A42" s="24" t="s">
        <v>105</v>
      </c>
      <c r="B42" s="25" t="n">
        <f aca="false">B7*B41</f>
        <v>3156.32625</v>
      </c>
    </row>
    <row r="43" customFormat="false" ht="54.75" hidden="false" customHeight="true" outlineLevel="0" collapsed="false">
      <c r="A43" s="36" t="s">
        <v>106</v>
      </c>
      <c r="B43" s="36"/>
      <c r="C43" s="36"/>
      <c r="D43" s="36"/>
      <c r="E43" s="36"/>
    </row>
  </sheetData>
  <mergeCells count="10">
    <mergeCell ref="A1:E1"/>
    <mergeCell ref="A2:E2"/>
    <mergeCell ref="A4:B4"/>
    <mergeCell ref="A9:B9"/>
    <mergeCell ref="A16:B16"/>
    <mergeCell ref="A26:B26"/>
    <mergeCell ref="A28:E28"/>
    <mergeCell ref="A30:B30"/>
    <mergeCell ref="A39:E39"/>
    <mergeCell ref="A43:E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8"/>
  </cols>
  <sheetData>
    <row r="1" customFormat="false" ht="17.35" hidden="false" customHeight="false" outlineLevel="0" collapsed="false">
      <c r="A1" s="1" t="s">
        <v>107</v>
      </c>
      <c r="B1" s="1"/>
      <c r="C1" s="1"/>
      <c r="D1" s="1"/>
    </row>
    <row r="2" customFormat="false" ht="15" hidden="false" customHeight="false" outlineLevel="0" collapsed="false">
      <c r="A2" s="2" t="s">
        <v>108</v>
      </c>
      <c r="B2" s="2"/>
      <c r="C2" s="2"/>
      <c r="D2" s="2"/>
    </row>
    <row r="4" customFormat="false" ht="15" hidden="false" customHeight="false" outlineLevel="0" collapsed="false">
      <c r="A4" s="3" t="s">
        <v>2</v>
      </c>
      <c r="B4" s="3" t="s">
        <v>109</v>
      </c>
      <c r="C4" s="3" t="s">
        <v>110</v>
      </c>
      <c r="D4" s="3" t="s">
        <v>111</v>
      </c>
    </row>
    <row r="5" customFormat="false" ht="15" hidden="false" customHeight="false" outlineLevel="0" collapsed="false">
      <c r="A5" s="6" t="s">
        <v>112</v>
      </c>
      <c r="B5" s="8" t="n">
        <v>0.15</v>
      </c>
      <c r="C5" s="19" t="n">
        <f aca="false">Fuentes!$B$27</f>
        <v>0.25</v>
      </c>
      <c r="D5" s="8" t="n">
        <v>0.35</v>
      </c>
    </row>
    <row r="6" customFormat="false" ht="15" hidden="false" customHeight="false" outlineLevel="0" collapsed="false">
      <c r="A6" s="6" t="s">
        <v>113</v>
      </c>
      <c r="B6" s="8" t="n">
        <v>0.75</v>
      </c>
      <c r="C6" s="19" t="n">
        <f aca="false">Fuentes!$B$28</f>
        <v>0.85</v>
      </c>
      <c r="D6" s="8" t="n">
        <v>0.9</v>
      </c>
    </row>
    <row r="7" customFormat="false" ht="15" hidden="false" customHeight="false" outlineLevel="0" collapsed="false">
      <c r="A7" s="6" t="s">
        <v>67</v>
      </c>
      <c r="B7" s="8" t="n">
        <v>0.1</v>
      </c>
      <c r="C7" s="19" t="n">
        <f aca="false">Fuentes!$B$29</f>
        <v>0.2</v>
      </c>
      <c r="D7" s="8" t="n">
        <v>0.3</v>
      </c>
    </row>
    <row r="9" customFormat="false" ht="15" hidden="false" customHeight="false" outlineLevel="0" collapsed="false">
      <c r="A9" s="16" t="s">
        <v>114</v>
      </c>
      <c r="B9" s="37" t="n">
        <f aca="false">Fuentes!$B$17*B5*B6*B7</f>
        <v>1233.3375</v>
      </c>
      <c r="C9" s="37" t="n">
        <f aca="false">Fuentes!$B$17*C5*C6*C7</f>
        <v>4659.275</v>
      </c>
      <c r="D9" s="37" t="n">
        <f aca="false">Fuentes!$B$17*D5*D6*D7</f>
        <v>10360.035</v>
      </c>
    </row>
    <row r="10" customFormat="false" ht="15" hidden="false" customHeight="false" outlineLevel="0" collapsed="false">
      <c r="A10" s="16" t="s">
        <v>115</v>
      </c>
      <c r="B10" s="37" t="n">
        <f aca="false">Fuentes!$B$14*Fuentes!$B$16*B6*B7</f>
        <v>1923</v>
      </c>
      <c r="C10" s="37" t="n">
        <f aca="false">Fuentes!$B$14*Fuentes!$B$16*C6*C7</f>
        <v>4358.8</v>
      </c>
      <c r="D10" s="37" t="n">
        <f aca="false">Fuentes!$B$14*Fuentes!$B$16*D6*D7</f>
        <v>6922.80000000001</v>
      </c>
    </row>
    <row r="11" customFormat="false" ht="15" hidden="false" customHeight="false" outlineLevel="0" collapsed="false">
      <c r="A11" s="24" t="s">
        <v>116</v>
      </c>
      <c r="B11" s="25" t="n">
        <f aca="false">B9+B10</f>
        <v>3156.3375</v>
      </c>
      <c r="C11" s="25" t="n">
        <f aca="false">C9+C10</f>
        <v>9018.075</v>
      </c>
      <c r="D11" s="25" t="n">
        <f aca="false">D9+D10</f>
        <v>17282.835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2026-08-14T22:25:50Z</dcterms:created>
  <dc:creator>openpyxl</dc:creator>
  <dc:description/>
  <dc:language>en-US</dc:language>
  <cp:lastModifiedBy/>
  <dcterms:modified xsi:type="dcterms:W3CDTF">2026-08-14T22:25:50Z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